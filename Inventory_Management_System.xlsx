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 KUMAR RAUT\OneDrive\Desktop\"/>
    </mc:Choice>
  </mc:AlternateContent>
  <xr:revisionPtr revIDLastSave="0" documentId="8_{3C3716DE-EE53-4503-9746-FC3BAB84D8D5}" xr6:coauthVersionLast="47" xr6:coauthVersionMax="47" xr10:uidLastSave="{00000000-0000-0000-0000-000000000000}"/>
  <bookViews>
    <workbookView xWindow="-108" yWindow="-108" windowWidth="23256" windowHeight="12456" xr2:uid="{463211A4-5E37-43B8-925D-8D970E486EB8}"/>
  </bookViews>
  <sheets>
    <sheet name="Dashboard" sheetId="1" r:id="rId1"/>
    <sheet name="Customers" sheetId="2" r:id="rId2"/>
    <sheet name="Products" sheetId="3" r:id="rId3"/>
    <sheet name="Vendors" sheetId="4" r:id="rId4"/>
    <sheet name="New Entry" sheetId="5" r:id="rId5"/>
    <sheet name="Purchase" sheetId="6" r:id="rId6"/>
    <sheet name="Sales" sheetId="7" r:id="rId7"/>
    <sheet name="Inventory" sheetId="8" r:id="rId8"/>
    <sheet name="Pivot" sheetId="9" r:id="rId9"/>
  </sheets>
  <definedNames>
    <definedName name="hsncode">Productsdata[HSN Code]</definedName>
  </definedNames>
  <calcPr calcId="191029"/>
  <pivotCaches>
    <pivotCache cacheId="122" r:id="rId10"/>
    <pivotCache cacheId="125" r:id="rId11"/>
    <pivotCache cacheId="129" r:id="rId12"/>
    <pivotCache cacheId="133" r:id="rId13"/>
    <pivotCache cacheId="13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 a="1"/>
  <c r="L13" i="1" s="1"/>
  <c r="K7" i="8"/>
  <c r="K8" i="8"/>
  <c r="K10" i="8"/>
  <c r="K11" i="8"/>
  <c r="K12" i="8"/>
  <c r="K13" i="8"/>
  <c r="K14" i="8"/>
  <c r="K15" i="8"/>
  <c r="K16" i="8"/>
  <c r="L7" i="7"/>
  <c r="I7" i="8"/>
  <c r="J7" i="8" s="1"/>
  <c r="I8" i="8"/>
  <c r="I11" i="7" s="1"/>
  <c r="J9" i="8"/>
  <c r="I10" i="8"/>
  <c r="I12" i="7" s="1"/>
  <c r="H7" i="8"/>
  <c r="H8" i="8"/>
  <c r="H9" i="8"/>
  <c r="H10" i="8"/>
  <c r="H11" i="8"/>
  <c r="H12" i="8"/>
  <c r="H13" i="8"/>
  <c r="H14" i="8"/>
  <c r="H15" i="8"/>
  <c r="H16" i="8"/>
  <c r="G7" i="8"/>
  <c r="G8" i="8"/>
  <c r="G9" i="8"/>
  <c r="G10" i="8"/>
  <c r="G11" i="8"/>
  <c r="I11" i="8" s="1"/>
  <c r="J11" i="8" s="1"/>
  <c r="G12" i="8"/>
  <c r="I12" i="8" s="1"/>
  <c r="G13" i="8"/>
  <c r="I13" i="8" s="1"/>
  <c r="G14" i="8"/>
  <c r="I14" i="8" s="1"/>
  <c r="G15" i="8"/>
  <c r="I15" i="8" s="1"/>
  <c r="G16" i="8"/>
  <c r="I16" i="8" s="1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E7" i="8"/>
  <c r="F7" i="8"/>
  <c r="D7" i="8"/>
  <c r="L8" i="7"/>
  <c r="L9" i="7"/>
  <c r="L10" i="7"/>
  <c r="L11" i="7"/>
  <c r="L12" i="7"/>
  <c r="L13" i="7"/>
  <c r="L14" i="7"/>
  <c r="L15" i="7"/>
  <c r="L16" i="7"/>
  <c r="L17" i="7"/>
  <c r="L18" i="7"/>
  <c r="L19" i="7"/>
  <c r="E8" i="7"/>
  <c r="E9" i="7"/>
  <c r="E10" i="7"/>
  <c r="E11" i="7"/>
  <c r="E12" i="7"/>
  <c r="E13" i="7"/>
  <c r="E14" i="7"/>
  <c r="E15" i="7"/>
  <c r="E16" i="7"/>
  <c r="E17" i="7"/>
  <c r="E18" i="7"/>
  <c r="E19" i="7"/>
  <c r="E7" i="7"/>
  <c r="E20" i="6"/>
  <c r="F20" i="6"/>
  <c r="F8" i="6"/>
  <c r="F9" i="6"/>
  <c r="F10" i="6"/>
  <c r="F11" i="6"/>
  <c r="F12" i="6"/>
  <c r="F13" i="6"/>
  <c r="F14" i="6"/>
  <c r="F15" i="6"/>
  <c r="F16" i="6"/>
  <c r="F17" i="6"/>
  <c r="F18" i="6"/>
  <c r="F19" i="6"/>
  <c r="F7" i="6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7" i="6"/>
  <c r="J7" i="6" s="1"/>
  <c r="E8" i="6"/>
  <c r="E9" i="6"/>
  <c r="E10" i="6"/>
  <c r="E11" i="6"/>
  <c r="E12" i="6"/>
  <c r="E13" i="6"/>
  <c r="E14" i="6"/>
  <c r="E15" i="6"/>
  <c r="E16" i="6"/>
  <c r="E17" i="6"/>
  <c r="E18" i="6"/>
  <c r="E19" i="6"/>
  <c r="E7" i="6"/>
  <c r="C16" i="9"/>
  <c r="C13" i="9"/>
  <c r="C10" i="9"/>
  <c r="C7" i="9"/>
  <c r="C4" i="9"/>
  <c r="C19" i="9" l="1"/>
  <c r="I15" i="7"/>
  <c r="J16" i="8"/>
  <c r="I13" i="7"/>
  <c r="I14" i="7"/>
  <c r="J15" i="8"/>
  <c r="I7" i="7"/>
  <c r="I10" i="7"/>
  <c r="J14" i="8"/>
  <c r="J13" i="8"/>
  <c r="I18" i="7"/>
  <c r="I17" i="7"/>
  <c r="I8" i="7"/>
  <c r="J12" i="8"/>
  <c r="J10" i="8"/>
  <c r="J8" i="8"/>
  <c r="I16" i="7"/>
  <c r="I9" i="7"/>
  <c r="I19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<sst xmlns="http://schemas.openxmlformats.org/spreadsheetml/2006/main" count="211" uniqueCount="94">
  <si>
    <t>Customers</t>
  </si>
  <si>
    <t>Products</t>
  </si>
  <si>
    <t>Cust_ID</t>
  </si>
  <si>
    <t>Name</t>
  </si>
  <si>
    <t>Email</t>
  </si>
  <si>
    <t>Address</t>
  </si>
  <si>
    <t>Ram sales</t>
  </si>
  <si>
    <t>Ram@gmail.com</t>
  </si>
  <si>
    <t>Delhi, India</t>
  </si>
  <si>
    <t>Atul Ltd.</t>
  </si>
  <si>
    <t>Atu@gmail.com</t>
  </si>
  <si>
    <t>121102, Palwal, HR</t>
  </si>
  <si>
    <t>MK Tech.</t>
  </si>
  <si>
    <t>MK @gmail.com</t>
  </si>
  <si>
    <t>Faridabad, 121101</t>
  </si>
  <si>
    <t>99store</t>
  </si>
  <si>
    <t>99s@gmail.com</t>
  </si>
  <si>
    <t>Agra, UP</t>
  </si>
  <si>
    <t>Rajesh Kumar</t>
  </si>
  <si>
    <t>Raj@gmail.com</t>
  </si>
  <si>
    <t>New Delhi, 110011</t>
  </si>
  <si>
    <t xml:space="preserve">Amit </t>
  </si>
  <si>
    <t>Ami@gmail.com</t>
  </si>
  <si>
    <t>Gurgaon, Sec-15</t>
  </si>
  <si>
    <t>Jain Tel.</t>
  </si>
  <si>
    <t>Jai@gmail.com</t>
  </si>
  <si>
    <t>Janpath, New Delhi</t>
  </si>
  <si>
    <t>HSN Code</t>
  </si>
  <si>
    <t>Product Name</t>
  </si>
  <si>
    <t>Cost</t>
  </si>
  <si>
    <t>Selling Price</t>
  </si>
  <si>
    <t>N1001</t>
  </si>
  <si>
    <t>Smart Watch</t>
  </si>
  <si>
    <t>N1002</t>
  </si>
  <si>
    <t>Laptop HP xyz i5</t>
  </si>
  <si>
    <t>N1003</t>
  </si>
  <si>
    <t>Wireless Printer</t>
  </si>
  <si>
    <t>N1004</t>
  </si>
  <si>
    <t>Desktop</t>
  </si>
  <si>
    <t>N1005</t>
  </si>
  <si>
    <t>Mouse</t>
  </si>
  <si>
    <t>N1006</t>
  </si>
  <si>
    <t>Rgb Keyboard</t>
  </si>
  <si>
    <t>N1007</t>
  </si>
  <si>
    <t>Camera</t>
  </si>
  <si>
    <t>N1008</t>
  </si>
  <si>
    <t>Headphones</t>
  </si>
  <si>
    <t>N1009</t>
  </si>
  <si>
    <t>Speakers</t>
  </si>
  <si>
    <t>N1010</t>
  </si>
  <si>
    <t>Tablets</t>
  </si>
  <si>
    <t>Vendor Name</t>
  </si>
  <si>
    <t>Phone</t>
  </si>
  <si>
    <t>Tech99</t>
  </si>
  <si>
    <t>9812xxxxxx</t>
  </si>
  <si>
    <t>Faridabad, 121102</t>
  </si>
  <si>
    <t>Faridabad, 121103</t>
  </si>
  <si>
    <t>GG Traders</t>
  </si>
  <si>
    <t>9813xxxxxx</t>
  </si>
  <si>
    <t>Gurgaon, Sec-16</t>
  </si>
  <si>
    <t>Gurgaon, Sec-17</t>
  </si>
  <si>
    <t>Gurgaon, Sec-18</t>
  </si>
  <si>
    <t>Compac</t>
  </si>
  <si>
    <t>9814xxxxxx</t>
  </si>
  <si>
    <t>New Delhi, 110012</t>
  </si>
  <si>
    <t>New Delhi, 110013</t>
  </si>
  <si>
    <t>New Delhi, 110014</t>
  </si>
  <si>
    <t>Vendor</t>
  </si>
  <si>
    <t>Date</t>
  </si>
  <si>
    <t>Units</t>
  </si>
  <si>
    <t>Amount</t>
  </si>
  <si>
    <t>Cust_Name</t>
  </si>
  <si>
    <t>Stock(Units)</t>
  </si>
  <si>
    <t>Price</t>
  </si>
  <si>
    <t>P Units</t>
  </si>
  <si>
    <t>S Units</t>
  </si>
  <si>
    <t>Stock</t>
  </si>
  <si>
    <t>Purchase Entry</t>
  </si>
  <si>
    <t>Sale Entry</t>
  </si>
  <si>
    <t>Stock  Amt</t>
  </si>
  <si>
    <t>Count of Name</t>
  </si>
  <si>
    <t>Count of Product Name</t>
  </si>
  <si>
    <t>Sum of Amount</t>
  </si>
  <si>
    <t>Purchase Amount</t>
  </si>
  <si>
    <t>Sales Amount</t>
  </si>
  <si>
    <t>Sum of Stock  Amt</t>
  </si>
  <si>
    <t>Stock Amount</t>
  </si>
  <si>
    <t>p/l</t>
  </si>
  <si>
    <t>Row Labels</t>
  </si>
  <si>
    <t>Grand Total</t>
  </si>
  <si>
    <t>Sum of S Units</t>
  </si>
  <si>
    <t>Notifications !</t>
  </si>
  <si>
    <t>Notification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</si>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</sst>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14009]dd/mm/yyyy;@"/>
    <numFmt numFmtId="170" formatCode="&quot;₹&quot;\ #,##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2" fillId="2" borderId="0" xfId="1" applyFont="1" applyFill="1"/>
    <xf numFmtId="0" fontId="0" fillId="2" borderId="0" xfId="0" applyNumberFormat="1" applyFill="1"/>
    <xf numFmtId="169" fontId="0" fillId="2" borderId="0" xfId="0" applyNumberFormat="1" applyFill="1"/>
    <xf numFmtId="0" fontId="0" fillId="0" borderId="0" xfId="0" applyNumberFormat="1"/>
    <xf numFmtId="0" fontId="0" fillId="0" borderId="0" xfId="0" applyAlignment="1">
      <alignment horizontal="right"/>
    </xf>
    <xf numFmtId="170" fontId="0" fillId="0" borderId="0" xfId="0" applyNumberFormat="1"/>
    <xf numFmtId="0" fontId="0" fillId="0" borderId="0" xfId="0" pivotButton="1"/>
    <xf numFmtId="0" fontId="0" fillId="4" borderId="0" xfId="0" applyFill="1"/>
    <xf numFmtId="0" fontId="4" fillId="4" borderId="0" xfId="0" applyFont="1" applyFill="1"/>
    <xf numFmtId="0" fontId="5" fillId="4" borderId="0" xfId="0" applyFont="1" applyFill="1"/>
    <xf numFmtId="0" fontId="6" fillId="3" borderId="0" xfId="0" applyFont="1" applyFill="1"/>
    <xf numFmtId="0" fontId="6" fillId="2" borderId="0" xfId="0" applyFont="1" applyFill="1"/>
  </cellXfs>
  <cellStyles count="2">
    <cellStyle name="Hyperlink" xfId="1" builtinId="8"/>
    <cellStyle name="Normal" xfId="0" builtinId="0"/>
  </cellStyles>
  <dxfs count="49"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169" formatCode="[$-14009]dd/mm/yyyy;@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A8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[Inventory_Management_System.xlsx]Pivot!PivotTable6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Pivot!$E$4:$E$10</c:f>
              <c:strCache>
                <c:ptCount val="6"/>
                <c:pt idx="0">
                  <c:v>Desktop</c:v>
                </c:pt>
                <c:pt idx="1">
                  <c:v>Speakers</c:v>
                </c:pt>
                <c:pt idx="2">
                  <c:v>Headphones</c:v>
                </c:pt>
                <c:pt idx="3">
                  <c:v>Smart Watch</c:v>
                </c:pt>
                <c:pt idx="4">
                  <c:v>Tablets</c:v>
                </c:pt>
                <c:pt idx="5">
                  <c:v>Rgb Keyboard</c:v>
                </c:pt>
              </c:strCache>
            </c:strRef>
          </c:cat>
          <c:val>
            <c:numRef>
              <c:f>Pivot!$F$4:$F$10</c:f>
              <c:numCache>
                <c:formatCode>General</c:formatCode>
                <c:ptCount val="6"/>
                <c:pt idx="0">
                  <c:v>65</c:v>
                </c:pt>
                <c:pt idx="1">
                  <c:v>52</c:v>
                </c:pt>
                <c:pt idx="2">
                  <c:v>42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7-4B38-A309-F6EDB3C5B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3057952"/>
        <c:axId val="1063056992"/>
      </c:barChart>
      <c:catAx>
        <c:axId val="106305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056992"/>
        <c:crosses val="autoZero"/>
        <c:auto val="1"/>
        <c:lblAlgn val="ctr"/>
        <c:lblOffset val="100"/>
        <c:noMultiLvlLbl val="0"/>
      </c:catAx>
      <c:valAx>
        <c:axId val="106305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05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[Inventory_Management_System.xlsx]Pivot!PivotTable7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Pivot!$E$14:$E$19</c:f>
              <c:strCache>
                <c:ptCount val="5"/>
                <c:pt idx="0">
                  <c:v>99store</c:v>
                </c:pt>
                <c:pt idx="1">
                  <c:v>Amit </c:v>
                </c:pt>
                <c:pt idx="2">
                  <c:v>MK Tech.</c:v>
                </c:pt>
                <c:pt idx="3">
                  <c:v>Rajesh Kumar</c:v>
                </c:pt>
                <c:pt idx="4">
                  <c:v>Atul Ltd.</c:v>
                </c:pt>
              </c:strCache>
            </c:strRef>
          </c:cat>
          <c:val>
            <c:numRef>
              <c:f>Pivot!$F$14:$F$19</c:f>
              <c:numCache>
                <c:formatCode>General</c:formatCode>
                <c:ptCount val="5"/>
                <c:pt idx="0">
                  <c:v>1439100</c:v>
                </c:pt>
                <c:pt idx="1">
                  <c:v>1180200</c:v>
                </c:pt>
                <c:pt idx="2">
                  <c:v>1117800</c:v>
                </c:pt>
                <c:pt idx="3">
                  <c:v>405096</c:v>
                </c:pt>
                <c:pt idx="4">
                  <c:v>252000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C-4363-836B-495162C87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1746880"/>
        <c:axId val="1186268240"/>
      </c:barChart>
      <c:catAx>
        <c:axId val="1251746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268240"/>
        <c:crosses val="autoZero"/>
        <c:auto val="1"/>
        <c:lblAlgn val="ctr"/>
        <c:lblOffset val="100"/>
        <c:noMultiLvlLbl val="0"/>
      </c:catAx>
      <c:valAx>
        <c:axId val="118626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74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[Inventory_Management_System.xlsx]Pivot!PivotTable8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Pivot!$A$23:$A$33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Pivot!$B$23:$B$33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3</c:v>
                </c:pt>
                <c:pt idx="4">
                  <c:v>20</c:v>
                </c:pt>
                <c:pt idx="5">
                  <c:v>13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8-4BEE-9372-C3DEB083F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995200"/>
        <c:axId val="162991840"/>
        <c:axId val="0"/>
      </c:bar3DChart>
      <c:catAx>
        <c:axId val="16299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91840"/>
        <c:crosses val="autoZero"/>
        <c:auto val="1"/>
        <c:lblAlgn val="ctr"/>
        <c:lblOffset val="100"/>
        <c:noMultiLvlLbl val="0"/>
      </c:catAx>
      <c:valAx>
        <c:axId val="16299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95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Sheet8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Custome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hyperlink" Target="#Dashboard!A1"/><Relationship Id="rId9" Type="http://schemas.openxmlformats.org/officeDocument/2006/relationships/hyperlink" Target="#Vendor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Sheet8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Custome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hyperlink" Target="#Dashboard!A1"/><Relationship Id="rId9" Type="http://schemas.openxmlformats.org/officeDocument/2006/relationships/hyperlink" Target="#Vendor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Sheet8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Custome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hyperlink" Target="#Dashboard!A1"/><Relationship Id="rId9" Type="http://schemas.openxmlformats.org/officeDocument/2006/relationships/hyperlink" Target="#Vendor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Sheet8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Custome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hyperlink" Target="#Dashboard!A1"/><Relationship Id="rId9" Type="http://schemas.openxmlformats.org/officeDocument/2006/relationships/hyperlink" Target="#Vendor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Sheet8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Custome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image" Target="../media/image20.sv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hyperlink" Target="#Dashboard!A1"/><Relationship Id="rId9" Type="http://schemas.openxmlformats.org/officeDocument/2006/relationships/hyperlink" Target="#Vendor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image" Target="../media/image19.png"/><Relationship Id="rId30" Type="http://schemas.openxmlformats.org/officeDocument/2006/relationships/image" Target="../media/image2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Sheet8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Custome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hyperlink" Target="#Dashboard!A1"/><Relationship Id="rId9" Type="http://schemas.openxmlformats.org/officeDocument/2006/relationships/hyperlink" Target="#Vendor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Inventory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Custome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hyperlink" Target="#Dashboard!A1"/><Relationship Id="rId9" Type="http://schemas.openxmlformats.org/officeDocument/2006/relationships/hyperlink" Target="#Vendor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Inventory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Custome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hyperlink" Target="#Dashboard!A1"/><Relationship Id="rId9" Type="http://schemas.openxmlformats.org/officeDocument/2006/relationships/hyperlink" Target="#Vendor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1</xdr:row>
      <xdr:rowOff>167640</xdr:rowOff>
    </xdr:from>
    <xdr:to>
      <xdr:col>1</xdr:col>
      <xdr:colOff>800100</xdr:colOff>
      <xdr:row>5</xdr:row>
      <xdr:rowOff>15240</xdr:rowOff>
    </xdr:to>
    <xdr:pic>
      <xdr:nvPicPr>
        <xdr:cNvPr id="3" name="Graphic 2" descr="Schoolhouse with solid fill">
          <a:extLst>
            <a:ext uri="{FF2B5EF4-FFF2-40B4-BE49-F238E27FC236}">
              <a16:creationId xmlns:a16="http://schemas.microsoft.com/office/drawing/2014/main" id="{5754CAEC-5EFB-BD30-5FB8-FBB3E5640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" y="350520"/>
          <a:ext cx="510540" cy="57912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60960</xdr:rowOff>
    </xdr:from>
    <xdr:to>
      <xdr:col>1</xdr:col>
      <xdr:colOff>1181100</xdr:colOff>
      <xdr:row>9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05C5B7B-6499-9263-26DC-944AB2342FCF}"/>
            </a:ext>
          </a:extLst>
        </xdr:cNvPr>
        <xdr:cNvSpPr/>
      </xdr:nvSpPr>
      <xdr:spPr>
        <a:xfrm>
          <a:off x="632460" y="975360"/>
          <a:ext cx="1158240" cy="746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n>
                <a:noFill/>
              </a:ln>
              <a:solidFill>
                <a:schemeClr val="tx1"/>
              </a:solidFill>
            </a:rPr>
            <a:t>Inventory</a:t>
          </a:r>
          <a:r>
            <a:rPr lang="en-IN" sz="1400" b="1" baseline="0">
              <a:ln>
                <a:noFill/>
              </a:ln>
              <a:solidFill>
                <a:schemeClr val="tx1"/>
              </a:solidFill>
            </a:rPr>
            <a:t> Management System</a:t>
          </a:r>
          <a:endParaRPr lang="en-IN" sz="14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594159</xdr:colOff>
      <xdr:row>21</xdr:row>
      <xdr:rowOff>83820</xdr:rowOff>
    </xdr:from>
    <xdr:to>
      <xdr:col>1</xdr:col>
      <xdr:colOff>1165759</xdr:colOff>
      <xdr:row>22</xdr:row>
      <xdr:rowOff>99060</xdr:rowOff>
    </xdr:to>
    <xdr:sp macro="" textlink="">
      <xdr:nvSpPr>
        <xdr:cNvPr id="23" name="Rectangle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70C5FA-D8E0-49EF-8EB6-938E5C25B1BF}"/>
            </a:ext>
          </a:extLst>
        </xdr:cNvPr>
        <xdr:cNvSpPr/>
      </xdr:nvSpPr>
      <xdr:spPr>
        <a:xfrm>
          <a:off x="594159" y="3924300"/>
          <a:ext cx="1181200" cy="1981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Inventory</a:t>
          </a:r>
        </a:p>
      </xdr:txBody>
    </xdr:sp>
    <xdr:clientData/>
  </xdr:twoCellAnchor>
  <xdr:twoCellAnchor>
    <xdr:from>
      <xdr:col>0</xdr:col>
      <xdr:colOff>586539</xdr:colOff>
      <xdr:row>12</xdr:row>
      <xdr:rowOff>0</xdr:rowOff>
    </xdr:from>
    <xdr:to>
      <xdr:col>1</xdr:col>
      <xdr:colOff>1150419</xdr:colOff>
      <xdr:row>13</xdr:row>
      <xdr:rowOff>152400</xdr:rowOff>
    </xdr:to>
    <xdr:sp macro="" textlink="">
      <xdr:nvSpPr>
        <xdr:cNvPr id="24" name="Rectangle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8E6E5A-85AC-B363-19AC-444B9E1AC902}"/>
            </a:ext>
          </a:extLst>
        </xdr:cNvPr>
        <xdr:cNvSpPr/>
      </xdr:nvSpPr>
      <xdr:spPr>
        <a:xfrm>
          <a:off x="586539" y="2194560"/>
          <a:ext cx="117348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594159</xdr:colOff>
      <xdr:row>13</xdr:row>
      <xdr:rowOff>82731</xdr:rowOff>
    </xdr:from>
    <xdr:to>
      <xdr:col>1</xdr:col>
      <xdr:colOff>1158039</xdr:colOff>
      <xdr:row>14</xdr:row>
      <xdr:rowOff>141514</xdr:rowOff>
    </xdr:to>
    <xdr:sp macro="" textlink="">
      <xdr:nvSpPr>
        <xdr:cNvPr id="25" name="Rectangle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372E80-7A94-DE18-E13C-C6BC0BFFEA96}"/>
            </a:ext>
          </a:extLst>
        </xdr:cNvPr>
        <xdr:cNvSpPr/>
      </xdr:nvSpPr>
      <xdr:spPr>
        <a:xfrm>
          <a:off x="594159" y="2460171"/>
          <a:ext cx="1173480" cy="24166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Customers</a:t>
          </a:r>
        </a:p>
      </xdr:txBody>
    </xdr:sp>
    <xdr:clientData/>
  </xdr:twoCellAnchor>
  <xdr:twoCellAnchor>
    <xdr:from>
      <xdr:col>0</xdr:col>
      <xdr:colOff>594159</xdr:colOff>
      <xdr:row>17</xdr:row>
      <xdr:rowOff>104502</xdr:rowOff>
    </xdr:from>
    <xdr:to>
      <xdr:col>1</xdr:col>
      <xdr:colOff>1173480</xdr:colOff>
      <xdr:row>18</xdr:row>
      <xdr:rowOff>126274</xdr:rowOff>
    </xdr:to>
    <xdr:sp macro="" textlink="">
      <xdr:nvSpPr>
        <xdr:cNvPr id="28" name="Rectangle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0895F6-8094-3342-DEC4-8A5E4F3880D2}"/>
            </a:ext>
          </a:extLst>
        </xdr:cNvPr>
        <xdr:cNvSpPr/>
      </xdr:nvSpPr>
      <xdr:spPr>
        <a:xfrm>
          <a:off x="594159" y="3213462"/>
          <a:ext cx="1188921" cy="20465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New</a:t>
          </a:r>
          <a:r>
            <a:rPr lang="en-IN" sz="1100" baseline="0">
              <a:ln>
                <a:noFill/>
              </a:ln>
            </a:rPr>
            <a:t> Entry</a:t>
          </a:r>
          <a:endParaRPr lang="en-IN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594159</xdr:colOff>
      <xdr:row>20</xdr:row>
      <xdr:rowOff>52251</xdr:rowOff>
    </xdr:from>
    <xdr:to>
      <xdr:col>1</xdr:col>
      <xdr:colOff>1158039</xdr:colOff>
      <xdr:row>21</xdr:row>
      <xdr:rowOff>46809</xdr:rowOff>
    </xdr:to>
    <xdr:sp macro="" textlink="">
      <xdr:nvSpPr>
        <xdr:cNvPr id="30" name="Rectangle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6512C46-9BA4-D8B9-F186-EB868976006A}"/>
            </a:ext>
          </a:extLst>
        </xdr:cNvPr>
        <xdr:cNvSpPr/>
      </xdr:nvSpPr>
      <xdr:spPr>
        <a:xfrm>
          <a:off x="594159" y="3709851"/>
          <a:ext cx="1173480" cy="177438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0</xdr:col>
      <xdr:colOff>594159</xdr:colOff>
      <xdr:row>14</xdr:row>
      <xdr:rowOff>163285</xdr:rowOff>
    </xdr:from>
    <xdr:to>
      <xdr:col>1</xdr:col>
      <xdr:colOff>1150319</xdr:colOff>
      <xdr:row>16</xdr:row>
      <xdr:rowOff>14151</xdr:rowOff>
    </xdr:to>
    <xdr:sp macro="" textlink="">
      <xdr:nvSpPr>
        <xdr:cNvPr id="31" name="Rectangle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7FA9F84-D900-B939-CDA4-A55A6154E4E2}"/>
            </a:ext>
          </a:extLst>
        </xdr:cNvPr>
        <xdr:cNvSpPr/>
      </xdr:nvSpPr>
      <xdr:spPr>
        <a:xfrm>
          <a:off x="594159" y="2723605"/>
          <a:ext cx="1165760" cy="2166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Products</a:t>
          </a:r>
        </a:p>
      </xdr:txBody>
    </xdr:sp>
    <xdr:clientData/>
  </xdr:twoCellAnchor>
  <xdr:twoCellAnchor>
    <xdr:from>
      <xdr:col>0</xdr:col>
      <xdr:colOff>594159</xdr:colOff>
      <xdr:row>16</xdr:row>
      <xdr:rowOff>51162</xdr:rowOff>
    </xdr:from>
    <xdr:to>
      <xdr:col>1</xdr:col>
      <xdr:colOff>1173480</xdr:colOff>
      <xdr:row>17</xdr:row>
      <xdr:rowOff>67491</xdr:rowOff>
    </xdr:to>
    <xdr:sp macro="" textlink="">
      <xdr:nvSpPr>
        <xdr:cNvPr id="34" name="Rectangle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4100A47-BC5C-540A-C625-BF1744147F2A}"/>
            </a:ext>
          </a:extLst>
        </xdr:cNvPr>
        <xdr:cNvSpPr/>
      </xdr:nvSpPr>
      <xdr:spPr>
        <a:xfrm>
          <a:off x="594159" y="2977242"/>
          <a:ext cx="1188921" cy="19920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Vendors</a:t>
          </a:r>
        </a:p>
      </xdr:txBody>
    </xdr:sp>
    <xdr:clientData/>
  </xdr:twoCellAnchor>
  <xdr:twoCellAnchor>
    <xdr:from>
      <xdr:col>0</xdr:col>
      <xdr:colOff>594159</xdr:colOff>
      <xdr:row>18</xdr:row>
      <xdr:rowOff>163285</xdr:rowOff>
    </xdr:from>
    <xdr:to>
      <xdr:col>1</xdr:col>
      <xdr:colOff>1165759</xdr:colOff>
      <xdr:row>20</xdr:row>
      <xdr:rowOff>15240</xdr:rowOff>
    </xdr:to>
    <xdr:sp macro="" textlink="">
      <xdr:nvSpPr>
        <xdr:cNvPr id="36" name="Rectangle 3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78A348D-643A-A5C4-27E8-3B644E55BB45}"/>
            </a:ext>
          </a:extLst>
        </xdr:cNvPr>
        <xdr:cNvSpPr/>
      </xdr:nvSpPr>
      <xdr:spPr>
        <a:xfrm>
          <a:off x="594159" y="3455125"/>
          <a:ext cx="1181200" cy="21771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latin typeface="+mj-lt"/>
            </a:rPr>
            <a:t>Purchase</a:t>
          </a:r>
        </a:p>
      </xdr:txBody>
    </xdr:sp>
    <xdr:clientData/>
  </xdr:twoCellAnchor>
  <xdr:twoCellAnchor editAs="oneCell">
    <xdr:from>
      <xdr:col>1</xdr:col>
      <xdr:colOff>807720</xdr:colOff>
      <xdr:row>11</xdr:row>
      <xdr:rowOff>160020</xdr:rowOff>
    </xdr:from>
    <xdr:to>
      <xdr:col>1</xdr:col>
      <xdr:colOff>1059180</xdr:colOff>
      <xdr:row>13</xdr:row>
      <xdr:rowOff>0</xdr:rowOff>
    </xdr:to>
    <xdr:pic>
      <xdr:nvPicPr>
        <xdr:cNvPr id="38" name="Graphic 37" descr="Gauge with solid fill">
          <a:extLst>
            <a:ext uri="{FF2B5EF4-FFF2-40B4-BE49-F238E27FC236}">
              <a16:creationId xmlns:a16="http://schemas.microsoft.com/office/drawing/2014/main" id="{9CB2069E-F011-E3D5-564E-6DF5FE06A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17320" y="217170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13</xdr:row>
      <xdr:rowOff>114300</xdr:rowOff>
    </xdr:from>
    <xdr:to>
      <xdr:col>1</xdr:col>
      <xdr:colOff>967740</xdr:colOff>
      <xdr:row>14</xdr:row>
      <xdr:rowOff>152400</xdr:rowOff>
    </xdr:to>
    <xdr:pic>
      <xdr:nvPicPr>
        <xdr:cNvPr id="40" name="Graphic 39" descr="Customer review with solid fill">
          <a:extLst>
            <a:ext uri="{FF2B5EF4-FFF2-40B4-BE49-F238E27FC236}">
              <a16:creationId xmlns:a16="http://schemas.microsoft.com/office/drawing/2014/main" id="{C1BB5018-F3FA-36A4-9135-9AFC4176C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56360" y="24917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15</xdr:row>
      <xdr:rowOff>7620</xdr:rowOff>
    </xdr:from>
    <xdr:to>
      <xdr:col>1</xdr:col>
      <xdr:colOff>990600</xdr:colOff>
      <xdr:row>16</xdr:row>
      <xdr:rowOff>68580</xdr:rowOff>
    </xdr:to>
    <xdr:pic>
      <xdr:nvPicPr>
        <xdr:cNvPr id="42" name="Graphic 41" descr="Computer with solid fill">
          <a:extLst>
            <a:ext uri="{FF2B5EF4-FFF2-40B4-BE49-F238E27FC236}">
              <a16:creationId xmlns:a16="http://schemas.microsoft.com/office/drawing/2014/main" id="{CF439AF0-9113-A321-318C-5836B86D7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56360" y="2750820"/>
          <a:ext cx="243840" cy="2438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16</xdr:row>
      <xdr:rowOff>76200</xdr:rowOff>
    </xdr:from>
    <xdr:to>
      <xdr:col>1</xdr:col>
      <xdr:colOff>929640</xdr:colOff>
      <xdr:row>17</xdr:row>
      <xdr:rowOff>76200</xdr:rowOff>
    </xdr:to>
    <xdr:pic>
      <xdr:nvPicPr>
        <xdr:cNvPr id="44" name="Graphic 43" descr="Man with solid fill">
          <a:extLst>
            <a:ext uri="{FF2B5EF4-FFF2-40B4-BE49-F238E27FC236}">
              <a16:creationId xmlns:a16="http://schemas.microsoft.com/office/drawing/2014/main" id="{FB8A74B8-6A35-4046-C165-56485F29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356360" y="30022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17</xdr:row>
      <xdr:rowOff>160020</xdr:rowOff>
    </xdr:from>
    <xdr:to>
      <xdr:col>1</xdr:col>
      <xdr:colOff>876300</xdr:colOff>
      <xdr:row>18</xdr:row>
      <xdr:rowOff>106680</xdr:rowOff>
    </xdr:to>
    <xdr:pic>
      <xdr:nvPicPr>
        <xdr:cNvPr id="46" name="Graphic 45" descr="Clipboard with solid fill">
          <a:extLst>
            <a:ext uri="{FF2B5EF4-FFF2-40B4-BE49-F238E27FC236}">
              <a16:creationId xmlns:a16="http://schemas.microsoft.com/office/drawing/2014/main" id="{CE565BA8-9534-435D-C3BC-2CCA21042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356360" y="3268980"/>
          <a:ext cx="129540" cy="1295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18</xdr:row>
      <xdr:rowOff>144780</xdr:rowOff>
    </xdr:from>
    <xdr:to>
      <xdr:col>1</xdr:col>
      <xdr:colOff>998220</xdr:colOff>
      <xdr:row>20</xdr:row>
      <xdr:rowOff>30480</xdr:rowOff>
    </xdr:to>
    <xdr:pic>
      <xdr:nvPicPr>
        <xdr:cNvPr id="48" name="Graphic 47" descr="Daily calendar with solid fill">
          <a:extLst>
            <a:ext uri="{FF2B5EF4-FFF2-40B4-BE49-F238E27FC236}">
              <a16:creationId xmlns:a16="http://schemas.microsoft.com/office/drawing/2014/main" id="{17740A04-D9A1-5C41-8E49-285570584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356360" y="343662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20</xdr:row>
      <xdr:rowOff>38100</xdr:rowOff>
    </xdr:from>
    <xdr:to>
      <xdr:col>1</xdr:col>
      <xdr:colOff>982980</xdr:colOff>
      <xdr:row>21</xdr:row>
      <xdr:rowOff>91440</xdr:rowOff>
    </xdr:to>
    <xdr:pic>
      <xdr:nvPicPr>
        <xdr:cNvPr id="50" name="Graphic 49" descr="Back with solid fill">
          <a:extLst>
            <a:ext uri="{FF2B5EF4-FFF2-40B4-BE49-F238E27FC236}">
              <a16:creationId xmlns:a16="http://schemas.microsoft.com/office/drawing/2014/main" id="{F057324B-3F78-0985-9A01-E7CD50C6A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356360" y="3695700"/>
          <a:ext cx="23622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21</xdr:row>
      <xdr:rowOff>91440</xdr:rowOff>
    </xdr:from>
    <xdr:to>
      <xdr:col>1</xdr:col>
      <xdr:colOff>998220</xdr:colOff>
      <xdr:row>22</xdr:row>
      <xdr:rowOff>160020</xdr:rowOff>
    </xdr:to>
    <xdr:pic>
      <xdr:nvPicPr>
        <xdr:cNvPr id="52" name="Graphic 51" descr="City with solid fill">
          <a:extLst>
            <a:ext uri="{FF2B5EF4-FFF2-40B4-BE49-F238E27FC236}">
              <a16:creationId xmlns:a16="http://schemas.microsoft.com/office/drawing/2014/main" id="{0948C634-7EB3-4CBE-F304-5FC28DFD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356360" y="3931920"/>
          <a:ext cx="251460" cy="251460"/>
        </a:xfrm>
        <a:prstGeom prst="rect">
          <a:avLst/>
        </a:prstGeom>
      </xdr:spPr>
    </xdr:pic>
    <xdr:clientData/>
  </xdr:twoCellAnchor>
  <xdr:twoCellAnchor editAs="absolute">
    <xdr:from>
      <xdr:col>2</xdr:col>
      <xdr:colOff>396240</xdr:colOff>
      <xdr:row>1</xdr:row>
      <xdr:rowOff>7620</xdr:rowOff>
    </xdr:from>
    <xdr:to>
      <xdr:col>22</xdr:col>
      <xdr:colOff>335280</xdr:colOff>
      <xdr:row>4</xdr:row>
      <xdr:rowOff>68580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5DB2E05F-4AF8-D26F-878B-CD324BECCB0C}"/>
            </a:ext>
          </a:extLst>
        </xdr:cNvPr>
        <xdr:cNvSpPr/>
      </xdr:nvSpPr>
      <xdr:spPr>
        <a:xfrm>
          <a:off x="2209800" y="190500"/>
          <a:ext cx="11887200" cy="609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>
              <a:solidFill>
                <a:schemeClr val="tx1"/>
              </a:solidFill>
            </a:rPr>
            <a:t>Inventory Management</a:t>
          </a:r>
          <a:r>
            <a:rPr lang="en-IN" sz="2400" baseline="0">
              <a:solidFill>
                <a:schemeClr val="tx1"/>
              </a:solidFill>
            </a:rPr>
            <a:t> System</a:t>
          </a:r>
          <a:endParaRPr lang="en-IN" sz="2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</xdr:col>
      <xdr:colOff>426720</xdr:colOff>
      <xdr:row>5</xdr:row>
      <xdr:rowOff>114300</xdr:rowOff>
    </xdr:from>
    <xdr:to>
      <xdr:col>4</xdr:col>
      <xdr:colOff>510540</xdr:colOff>
      <xdr:row>8</xdr:row>
      <xdr:rowOff>167640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210FF1E5-BBE4-07B6-C59B-A2E1617FD981}"/>
            </a:ext>
          </a:extLst>
        </xdr:cNvPr>
        <xdr:cNvSpPr/>
      </xdr:nvSpPr>
      <xdr:spPr>
        <a:xfrm>
          <a:off x="2240280" y="1028700"/>
          <a:ext cx="1303020" cy="60198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   </a:t>
          </a:r>
          <a:r>
            <a:rPr lang="en-IN" sz="1200" baseline="0">
              <a:solidFill>
                <a:schemeClr val="tx1"/>
              </a:solidFill>
            </a:rPr>
            <a:t>Customers</a:t>
          </a:r>
          <a:endParaRPr lang="en-IN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</xdr:col>
      <xdr:colOff>434340</xdr:colOff>
      <xdr:row>5</xdr:row>
      <xdr:rowOff>114300</xdr:rowOff>
    </xdr:from>
    <xdr:to>
      <xdr:col>2</xdr:col>
      <xdr:colOff>579120</xdr:colOff>
      <xdr:row>8</xdr:row>
      <xdr:rowOff>167640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38F5C6CA-39CA-4ECF-8484-9C78B9EB0EED}"/>
            </a:ext>
          </a:extLst>
        </xdr:cNvPr>
        <xdr:cNvSpPr/>
      </xdr:nvSpPr>
      <xdr:spPr>
        <a:xfrm>
          <a:off x="2247900" y="1028700"/>
          <a:ext cx="144780" cy="60198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53340</xdr:colOff>
      <xdr:row>5</xdr:row>
      <xdr:rowOff>106680</xdr:rowOff>
    </xdr:from>
    <xdr:to>
      <xdr:col>7</xdr:col>
      <xdr:colOff>137160</xdr:colOff>
      <xdr:row>8</xdr:row>
      <xdr:rowOff>160020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CD64AA27-A259-4C98-A326-D5E649A5D85A}"/>
            </a:ext>
          </a:extLst>
        </xdr:cNvPr>
        <xdr:cNvSpPr/>
      </xdr:nvSpPr>
      <xdr:spPr>
        <a:xfrm>
          <a:off x="3695700" y="1021080"/>
          <a:ext cx="1303020" cy="60198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   </a:t>
          </a:r>
          <a:r>
            <a:rPr lang="en-IN" sz="1200" baseline="0">
              <a:solidFill>
                <a:schemeClr val="tx1"/>
              </a:solidFill>
            </a:rPr>
            <a:t>  Products</a:t>
          </a:r>
          <a:endParaRPr lang="en-IN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60960</xdr:colOff>
      <xdr:row>5</xdr:row>
      <xdr:rowOff>106680</xdr:rowOff>
    </xdr:from>
    <xdr:to>
      <xdr:col>5</xdr:col>
      <xdr:colOff>205740</xdr:colOff>
      <xdr:row>8</xdr:row>
      <xdr:rowOff>160020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93CC475D-1EA3-4A1A-BE94-02B67D15DEE8}"/>
            </a:ext>
          </a:extLst>
        </xdr:cNvPr>
        <xdr:cNvSpPr/>
      </xdr:nvSpPr>
      <xdr:spPr>
        <a:xfrm>
          <a:off x="3703320" y="1021080"/>
          <a:ext cx="144780" cy="6019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7</xdr:col>
      <xdr:colOff>251460</xdr:colOff>
      <xdr:row>5</xdr:row>
      <xdr:rowOff>99060</xdr:rowOff>
    </xdr:from>
    <xdr:to>
      <xdr:col>9</xdr:col>
      <xdr:colOff>335280</xdr:colOff>
      <xdr:row>8</xdr:row>
      <xdr:rowOff>152400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430847BB-065C-4D99-8A98-39A4BFA92477}"/>
            </a:ext>
          </a:extLst>
        </xdr:cNvPr>
        <xdr:cNvSpPr/>
      </xdr:nvSpPr>
      <xdr:spPr>
        <a:xfrm>
          <a:off x="5113020" y="1013460"/>
          <a:ext cx="1303020" cy="60198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   </a:t>
          </a:r>
          <a:r>
            <a:rPr lang="en-IN" sz="1200" baseline="0">
              <a:solidFill>
                <a:schemeClr val="tx1"/>
              </a:solidFill>
            </a:rPr>
            <a:t>Purchase Amt.</a:t>
          </a:r>
          <a:endParaRPr lang="en-IN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259080</xdr:colOff>
      <xdr:row>5</xdr:row>
      <xdr:rowOff>99060</xdr:rowOff>
    </xdr:from>
    <xdr:to>
      <xdr:col>7</xdr:col>
      <xdr:colOff>403860</xdr:colOff>
      <xdr:row>8</xdr:row>
      <xdr:rowOff>152400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D2F1D82A-5463-460B-AC3D-6F8276466C57}"/>
            </a:ext>
          </a:extLst>
        </xdr:cNvPr>
        <xdr:cNvSpPr/>
      </xdr:nvSpPr>
      <xdr:spPr>
        <a:xfrm>
          <a:off x="5120640" y="1013460"/>
          <a:ext cx="144780" cy="601980"/>
        </a:xfrm>
        <a:prstGeom prst="rect">
          <a:avLst/>
        </a:prstGeom>
        <a:solidFill>
          <a:srgbClr val="FA8AF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9</xdr:col>
      <xdr:colOff>464820</xdr:colOff>
      <xdr:row>5</xdr:row>
      <xdr:rowOff>83820</xdr:rowOff>
    </xdr:from>
    <xdr:to>
      <xdr:col>11</xdr:col>
      <xdr:colOff>548640</xdr:colOff>
      <xdr:row>8</xdr:row>
      <xdr:rowOff>137160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C5273CBF-C624-4380-A045-A4B6D2F0322E}"/>
            </a:ext>
          </a:extLst>
        </xdr:cNvPr>
        <xdr:cNvSpPr/>
      </xdr:nvSpPr>
      <xdr:spPr>
        <a:xfrm>
          <a:off x="6545580" y="998220"/>
          <a:ext cx="1303020" cy="60198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   </a:t>
          </a:r>
          <a:r>
            <a:rPr lang="en-IN" sz="1200" baseline="0">
              <a:solidFill>
                <a:schemeClr val="tx1"/>
              </a:solidFill>
            </a:rPr>
            <a:t>Sales Amt.</a:t>
          </a:r>
          <a:endParaRPr lang="en-IN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9</xdr:col>
      <xdr:colOff>472440</xdr:colOff>
      <xdr:row>5</xdr:row>
      <xdr:rowOff>83820</xdr:rowOff>
    </xdr:from>
    <xdr:to>
      <xdr:col>10</xdr:col>
      <xdr:colOff>7620</xdr:colOff>
      <xdr:row>8</xdr:row>
      <xdr:rowOff>137160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A468A1E6-7149-4B08-9ED7-9806B3E4EE19}"/>
            </a:ext>
          </a:extLst>
        </xdr:cNvPr>
        <xdr:cNvSpPr/>
      </xdr:nvSpPr>
      <xdr:spPr>
        <a:xfrm>
          <a:off x="6553200" y="998220"/>
          <a:ext cx="144780" cy="60198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12</xdr:col>
      <xdr:colOff>60960</xdr:colOff>
      <xdr:row>5</xdr:row>
      <xdr:rowOff>68580</xdr:rowOff>
    </xdr:from>
    <xdr:to>
      <xdr:col>14</xdr:col>
      <xdr:colOff>144780</xdr:colOff>
      <xdr:row>8</xdr:row>
      <xdr:rowOff>121920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4323283-5202-4E6F-B1FC-D1BA8B924643}"/>
            </a:ext>
          </a:extLst>
        </xdr:cNvPr>
        <xdr:cNvSpPr/>
      </xdr:nvSpPr>
      <xdr:spPr>
        <a:xfrm>
          <a:off x="7970520" y="982980"/>
          <a:ext cx="1303020" cy="60198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   </a:t>
          </a:r>
          <a:r>
            <a:rPr lang="en-IN" sz="1200" baseline="0">
              <a:solidFill>
                <a:schemeClr val="tx1"/>
              </a:solidFill>
            </a:rPr>
            <a:t> Stock Amt.</a:t>
          </a:r>
          <a:endParaRPr lang="en-IN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12</xdr:col>
      <xdr:colOff>68580</xdr:colOff>
      <xdr:row>5</xdr:row>
      <xdr:rowOff>68580</xdr:rowOff>
    </xdr:from>
    <xdr:to>
      <xdr:col>12</xdr:col>
      <xdr:colOff>213360</xdr:colOff>
      <xdr:row>8</xdr:row>
      <xdr:rowOff>121920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4CAF1C17-616A-4C7A-8DDA-EBE74F7A2EFA}"/>
            </a:ext>
          </a:extLst>
        </xdr:cNvPr>
        <xdr:cNvSpPr/>
      </xdr:nvSpPr>
      <xdr:spPr>
        <a:xfrm>
          <a:off x="7978140" y="982980"/>
          <a:ext cx="144780" cy="601980"/>
        </a:xfrm>
        <a:prstGeom prst="rect">
          <a:avLst/>
        </a:prstGeom>
        <a:solidFill>
          <a:srgbClr val="FFFF0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14</xdr:col>
      <xdr:colOff>266700</xdr:colOff>
      <xdr:row>5</xdr:row>
      <xdr:rowOff>53340</xdr:rowOff>
    </xdr:from>
    <xdr:to>
      <xdr:col>16</xdr:col>
      <xdr:colOff>350520</xdr:colOff>
      <xdr:row>8</xdr:row>
      <xdr:rowOff>106680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C563C417-03F6-4970-A376-8B3AB10102FE}"/>
            </a:ext>
          </a:extLst>
        </xdr:cNvPr>
        <xdr:cNvSpPr/>
      </xdr:nvSpPr>
      <xdr:spPr>
        <a:xfrm>
          <a:off x="9395460" y="967740"/>
          <a:ext cx="1303020" cy="60198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   </a:t>
          </a:r>
          <a:r>
            <a:rPr lang="en-IN" sz="1200" baseline="0">
              <a:solidFill>
                <a:schemeClr val="tx1"/>
              </a:solidFill>
            </a:rPr>
            <a:t> Profit/Loss</a:t>
          </a:r>
          <a:endParaRPr lang="en-IN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14</xdr:col>
      <xdr:colOff>274320</xdr:colOff>
      <xdr:row>5</xdr:row>
      <xdr:rowOff>53340</xdr:rowOff>
    </xdr:from>
    <xdr:to>
      <xdr:col>14</xdr:col>
      <xdr:colOff>419100</xdr:colOff>
      <xdr:row>8</xdr:row>
      <xdr:rowOff>106680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9529F023-F5A4-4D8A-A120-020C72253372}"/>
            </a:ext>
          </a:extLst>
        </xdr:cNvPr>
        <xdr:cNvSpPr/>
      </xdr:nvSpPr>
      <xdr:spPr>
        <a:xfrm>
          <a:off x="9403080" y="967740"/>
          <a:ext cx="144780" cy="60198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3</xdr:col>
      <xdr:colOff>53340</xdr:colOff>
      <xdr:row>7</xdr:row>
      <xdr:rowOff>22860</xdr:rowOff>
    </xdr:from>
    <xdr:to>
      <xdr:col>4</xdr:col>
      <xdr:colOff>502920</xdr:colOff>
      <xdr:row>8</xdr:row>
      <xdr:rowOff>99060</xdr:rowOff>
    </xdr:to>
    <xdr:sp macro="" textlink="Pivot!C4">
      <xdr:nvSpPr>
        <xdr:cNvPr id="68" name="Rectangle 67">
          <a:extLst>
            <a:ext uri="{FF2B5EF4-FFF2-40B4-BE49-F238E27FC236}">
              <a16:creationId xmlns:a16="http://schemas.microsoft.com/office/drawing/2014/main" id="{D8F0625A-372B-D330-399E-33B5E4F82853}"/>
            </a:ext>
          </a:extLst>
        </xdr:cNvPr>
        <xdr:cNvSpPr/>
      </xdr:nvSpPr>
      <xdr:spPr>
        <a:xfrm>
          <a:off x="2476500" y="1303020"/>
          <a:ext cx="1059180" cy="2590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3B9F74F-77E6-4312-8E34-6A300B1449E0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7</a:t>
          </a:fld>
          <a:endParaRPr lang="en-IN" sz="1100" b="1"/>
        </a:p>
      </xdr:txBody>
    </xdr:sp>
    <xdr:clientData/>
  </xdr:twoCellAnchor>
  <xdr:twoCellAnchor editAs="absolute">
    <xdr:from>
      <xdr:col>5</xdr:col>
      <xdr:colOff>289560</xdr:colOff>
      <xdr:row>7</xdr:row>
      <xdr:rowOff>22860</xdr:rowOff>
    </xdr:from>
    <xdr:to>
      <xdr:col>7</xdr:col>
      <xdr:colOff>129540</xdr:colOff>
      <xdr:row>8</xdr:row>
      <xdr:rowOff>99060</xdr:rowOff>
    </xdr:to>
    <xdr:sp macro="" textlink="Pivot!C7">
      <xdr:nvSpPr>
        <xdr:cNvPr id="69" name="Rectangle 68">
          <a:extLst>
            <a:ext uri="{FF2B5EF4-FFF2-40B4-BE49-F238E27FC236}">
              <a16:creationId xmlns:a16="http://schemas.microsoft.com/office/drawing/2014/main" id="{76E8E738-899E-4AC1-A0FB-AB1E5C0C3C42}"/>
            </a:ext>
          </a:extLst>
        </xdr:cNvPr>
        <xdr:cNvSpPr/>
      </xdr:nvSpPr>
      <xdr:spPr>
        <a:xfrm>
          <a:off x="3931920" y="1303020"/>
          <a:ext cx="1059180" cy="2590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BE5D01F-9DE3-490E-8A26-9D88CF02926B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10</a:t>
          </a:fld>
          <a:endParaRPr lang="en-IN" sz="1100" b="1"/>
        </a:p>
      </xdr:txBody>
    </xdr:sp>
    <xdr:clientData/>
  </xdr:twoCellAnchor>
  <xdr:twoCellAnchor editAs="absolute">
    <xdr:from>
      <xdr:col>7</xdr:col>
      <xdr:colOff>487680</xdr:colOff>
      <xdr:row>7</xdr:row>
      <xdr:rowOff>15240</xdr:rowOff>
    </xdr:from>
    <xdr:to>
      <xdr:col>9</xdr:col>
      <xdr:colOff>327660</xdr:colOff>
      <xdr:row>8</xdr:row>
      <xdr:rowOff>91440</xdr:rowOff>
    </xdr:to>
    <xdr:sp macro="" textlink="Pivot!C10">
      <xdr:nvSpPr>
        <xdr:cNvPr id="70" name="Rectangle 69">
          <a:extLst>
            <a:ext uri="{FF2B5EF4-FFF2-40B4-BE49-F238E27FC236}">
              <a16:creationId xmlns:a16="http://schemas.microsoft.com/office/drawing/2014/main" id="{6BF52D03-9688-4516-A6F2-F583B11F4BE2}"/>
            </a:ext>
          </a:extLst>
        </xdr:cNvPr>
        <xdr:cNvSpPr/>
      </xdr:nvSpPr>
      <xdr:spPr>
        <a:xfrm>
          <a:off x="5349240" y="1295400"/>
          <a:ext cx="1059180" cy="2590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6F35B9F-CC4F-4C11-A12B-99ECB1D8FEE9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55,43,995</a:t>
          </a:fld>
          <a:endParaRPr lang="en-IN" sz="1100" b="1"/>
        </a:p>
      </xdr:txBody>
    </xdr:sp>
    <xdr:clientData/>
  </xdr:twoCellAnchor>
  <xdr:twoCellAnchor editAs="absolute">
    <xdr:from>
      <xdr:col>10</xdr:col>
      <xdr:colOff>99060</xdr:colOff>
      <xdr:row>7</xdr:row>
      <xdr:rowOff>0</xdr:rowOff>
    </xdr:from>
    <xdr:to>
      <xdr:col>11</xdr:col>
      <xdr:colOff>548640</xdr:colOff>
      <xdr:row>8</xdr:row>
      <xdr:rowOff>76200</xdr:rowOff>
    </xdr:to>
    <xdr:sp macro="" textlink="Pivot!C13">
      <xdr:nvSpPr>
        <xdr:cNvPr id="71" name="Rectangle 70">
          <a:extLst>
            <a:ext uri="{FF2B5EF4-FFF2-40B4-BE49-F238E27FC236}">
              <a16:creationId xmlns:a16="http://schemas.microsoft.com/office/drawing/2014/main" id="{2700B310-F19D-454D-896F-71FB78417A65}"/>
            </a:ext>
          </a:extLst>
        </xdr:cNvPr>
        <xdr:cNvSpPr/>
      </xdr:nvSpPr>
      <xdr:spPr>
        <a:xfrm>
          <a:off x="6789420" y="1280160"/>
          <a:ext cx="1059180" cy="2590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0D36F51-7B31-45F8-8E9A-8F77A4209386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44,66,686</a:t>
          </a:fld>
          <a:endParaRPr lang="en-IN" sz="1100" b="1"/>
        </a:p>
      </xdr:txBody>
    </xdr:sp>
    <xdr:clientData/>
  </xdr:twoCellAnchor>
  <xdr:twoCellAnchor editAs="absolute">
    <xdr:from>
      <xdr:col>12</xdr:col>
      <xdr:colOff>304800</xdr:colOff>
      <xdr:row>7</xdr:row>
      <xdr:rowOff>0</xdr:rowOff>
    </xdr:from>
    <xdr:to>
      <xdr:col>14</xdr:col>
      <xdr:colOff>144780</xdr:colOff>
      <xdr:row>8</xdr:row>
      <xdr:rowOff>76200</xdr:rowOff>
    </xdr:to>
    <xdr:sp macro="" textlink="Pivot!C16">
      <xdr:nvSpPr>
        <xdr:cNvPr id="72" name="Rectangle 71">
          <a:extLst>
            <a:ext uri="{FF2B5EF4-FFF2-40B4-BE49-F238E27FC236}">
              <a16:creationId xmlns:a16="http://schemas.microsoft.com/office/drawing/2014/main" id="{35AEB09C-9CA1-41F5-B9F4-8F6515399895}"/>
            </a:ext>
          </a:extLst>
        </xdr:cNvPr>
        <xdr:cNvSpPr/>
      </xdr:nvSpPr>
      <xdr:spPr>
        <a:xfrm>
          <a:off x="8214360" y="1280160"/>
          <a:ext cx="1059180" cy="2590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F9AAC0F-C2DB-4F8B-A706-D49792B90386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18,21,757</a:t>
          </a:fld>
          <a:endParaRPr lang="en-IN" sz="1100" b="1"/>
        </a:p>
      </xdr:txBody>
    </xdr:sp>
    <xdr:clientData/>
  </xdr:twoCellAnchor>
  <xdr:twoCellAnchor editAs="absolute">
    <xdr:from>
      <xdr:col>14</xdr:col>
      <xdr:colOff>502920</xdr:colOff>
      <xdr:row>6</xdr:row>
      <xdr:rowOff>167640</xdr:rowOff>
    </xdr:from>
    <xdr:to>
      <xdr:col>16</xdr:col>
      <xdr:colOff>342900</xdr:colOff>
      <xdr:row>8</xdr:row>
      <xdr:rowOff>60960</xdr:rowOff>
    </xdr:to>
    <xdr:sp macro="" textlink="Pivot!C19">
      <xdr:nvSpPr>
        <xdr:cNvPr id="73" name="Rectangle 72">
          <a:extLst>
            <a:ext uri="{FF2B5EF4-FFF2-40B4-BE49-F238E27FC236}">
              <a16:creationId xmlns:a16="http://schemas.microsoft.com/office/drawing/2014/main" id="{0DE07736-5D00-48F3-8D53-B6470FAE240D}"/>
            </a:ext>
          </a:extLst>
        </xdr:cNvPr>
        <xdr:cNvSpPr/>
      </xdr:nvSpPr>
      <xdr:spPr>
        <a:xfrm>
          <a:off x="9631680" y="1264920"/>
          <a:ext cx="1059180" cy="2590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1E59434-FFCE-4613-BACB-1AC15FDA4DA7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7,44,448</a:t>
          </a:fld>
          <a:endParaRPr lang="en-IN" sz="1100" b="1"/>
        </a:p>
      </xdr:txBody>
    </xdr:sp>
    <xdr:clientData/>
  </xdr:twoCellAnchor>
  <xdr:twoCellAnchor>
    <xdr:from>
      <xdr:col>6</xdr:col>
      <xdr:colOff>419100</xdr:colOff>
      <xdr:row>9</xdr:row>
      <xdr:rowOff>68580</xdr:rowOff>
    </xdr:from>
    <xdr:to>
      <xdr:col>10</xdr:col>
      <xdr:colOff>464820</xdr:colOff>
      <xdr:row>19</xdr:row>
      <xdr:rowOff>45720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42E997DC-4263-4298-A7BC-9F36938B5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</xdr:col>
      <xdr:colOff>426720</xdr:colOff>
      <xdr:row>9</xdr:row>
      <xdr:rowOff>57150</xdr:rowOff>
    </xdr:from>
    <xdr:to>
      <xdr:col>6</xdr:col>
      <xdr:colOff>312420</xdr:colOff>
      <xdr:row>19</xdr:row>
      <xdr:rowOff>38100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B6CD2512-F32E-41A2-9069-39F33BCB9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434340</xdr:colOff>
      <xdr:row>19</xdr:row>
      <xdr:rowOff>76200</xdr:rowOff>
    </xdr:from>
    <xdr:to>
      <xdr:col>10</xdr:col>
      <xdr:colOff>449580</xdr:colOff>
      <xdr:row>30</xdr:row>
      <xdr:rowOff>22860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3B34B855-2A74-4E91-B698-30C622710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1</xdr:row>
      <xdr:rowOff>167640</xdr:rowOff>
    </xdr:from>
    <xdr:to>
      <xdr:col>1</xdr:col>
      <xdr:colOff>800100</xdr:colOff>
      <xdr:row>5</xdr:row>
      <xdr:rowOff>15240</xdr:rowOff>
    </xdr:to>
    <xdr:pic>
      <xdr:nvPicPr>
        <xdr:cNvPr id="2" name="Graphic 1" descr="Schoolhouse with solid fill">
          <a:extLst>
            <a:ext uri="{FF2B5EF4-FFF2-40B4-BE49-F238E27FC236}">
              <a16:creationId xmlns:a16="http://schemas.microsoft.com/office/drawing/2014/main" id="{EEB685B0-17C2-438A-BD26-AB33AAD64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" y="350520"/>
          <a:ext cx="510540" cy="57912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60960</xdr:rowOff>
    </xdr:from>
    <xdr:to>
      <xdr:col>1</xdr:col>
      <xdr:colOff>1181100</xdr:colOff>
      <xdr:row>9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9EADB50-732B-401C-BDE8-49D2224B6A1B}"/>
            </a:ext>
          </a:extLst>
        </xdr:cNvPr>
        <xdr:cNvSpPr/>
      </xdr:nvSpPr>
      <xdr:spPr>
        <a:xfrm>
          <a:off x="632460" y="975360"/>
          <a:ext cx="1158240" cy="746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n>
                <a:noFill/>
              </a:ln>
              <a:solidFill>
                <a:schemeClr val="tx1"/>
              </a:solidFill>
            </a:rPr>
            <a:t>Inventory</a:t>
          </a:r>
          <a:r>
            <a:rPr lang="en-IN" sz="1400" b="1" baseline="0">
              <a:ln>
                <a:noFill/>
              </a:ln>
              <a:solidFill>
                <a:schemeClr val="tx1"/>
              </a:solidFill>
            </a:rPr>
            <a:t> Management System</a:t>
          </a:r>
          <a:endParaRPr lang="en-IN" sz="14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594159</xdr:colOff>
      <xdr:row>21</xdr:row>
      <xdr:rowOff>83820</xdr:rowOff>
    </xdr:from>
    <xdr:to>
      <xdr:col>1</xdr:col>
      <xdr:colOff>1165759</xdr:colOff>
      <xdr:row>22</xdr:row>
      <xdr:rowOff>99060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E3652F-CF72-4864-A606-82FCA5CA5EC9}"/>
            </a:ext>
          </a:extLst>
        </xdr:cNvPr>
        <xdr:cNvSpPr/>
      </xdr:nvSpPr>
      <xdr:spPr>
        <a:xfrm>
          <a:off x="594159" y="3924300"/>
          <a:ext cx="1181200" cy="1981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Inventory</a:t>
          </a:r>
        </a:p>
      </xdr:txBody>
    </xdr:sp>
    <xdr:clientData/>
  </xdr:twoCellAnchor>
  <xdr:twoCellAnchor>
    <xdr:from>
      <xdr:col>0</xdr:col>
      <xdr:colOff>586539</xdr:colOff>
      <xdr:row>12</xdr:row>
      <xdr:rowOff>0</xdr:rowOff>
    </xdr:from>
    <xdr:to>
      <xdr:col>1</xdr:col>
      <xdr:colOff>1150419</xdr:colOff>
      <xdr:row>13</xdr:row>
      <xdr:rowOff>152400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EED886-7DFE-46B2-AD5F-1ABBE8F3B4C0}"/>
            </a:ext>
          </a:extLst>
        </xdr:cNvPr>
        <xdr:cNvSpPr/>
      </xdr:nvSpPr>
      <xdr:spPr>
        <a:xfrm>
          <a:off x="586539" y="2194560"/>
          <a:ext cx="117348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594159</xdr:colOff>
      <xdr:row>13</xdr:row>
      <xdr:rowOff>82731</xdr:rowOff>
    </xdr:from>
    <xdr:to>
      <xdr:col>1</xdr:col>
      <xdr:colOff>1158039</xdr:colOff>
      <xdr:row>14</xdr:row>
      <xdr:rowOff>141514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5E414A-AAB5-44D8-97DA-510D63779D19}"/>
            </a:ext>
          </a:extLst>
        </xdr:cNvPr>
        <xdr:cNvSpPr/>
      </xdr:nvSpPr>
      <xdr:spPr>
        <a:xfrm>
          <a:off x="594159" y="2460171"/>
          <a:ext cx="1173480" cy="24166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n>
                <a:noFill/>
              </a:ln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0</xdr:col>
      <xdr:colOff>594159</xdr:colOff>
      <xdr:row>17</xdr:row>
      <xdr:rowOff>104502</xdr:rowOff>
    </xdr:from>
    <xdr:to>
      <xdr:col>1</xdr:col>
      <xdr:colOff>1173480</xdr:colOff>
      <xdr:row>18</xdr:row>
      <xdr:rowOff>126274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73B850-2C82-4812-9CEB-791F9BC211A5}"/>
            </a:ext>
          </a:extLst>
        </xdr:cNvPr>
        <xdr:cNvSpPr/>
      </xdr:nvSpPr>
      <xdr:spPr>
        <a:xfrm>
          <a:off x="594159" y="3213462"/>
          <a:ext cx="1188921" cy="20465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New</a:t>
          </a:r>
          <a:r>
            <a:rPr lang="en-IN" sz="1100" baseline="0">
              <a:ln>
                <a:noFill/>
              </a:ln>
            </a:rPr>
            <a:t> Entry</a:t>
          </a:r>
          <a:endParaRPr lang="en-IN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594159</xdr:colOff>
      <xdr:row>20</xdr:row>
      <xdr:rowOff>52251</xdr:rowOff>
    </xdr:from>
    <xdr:to>
      <xdr:col>1</xdr:col>
      <xdr:colOff>1158039</xdr:colOff>
      <xdr:row>21</xdr:row>
      <xdr:rowOff>46809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89CC186-687E-492B-B66F-989C201271A4}"/>
            </a:ext>
          </a:extLst>
        </xdr:cNvPr>
        <xdr:cNvSpPr/>
      </xdr:nvSpPr>
      <xdr:spPr>
        <a:xfrm>
          <a:off x="594159" y="3709851"/>
          <a:ext cx="1173480" cy="177438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0</xdr:col>
      <xdr:colOff>594159</xdr:colOff>
      <xdr:row>14</xdr:row>
      <xdr:rowOff>163285</xdr:rowOff>
    </xdr:from>
    <xdr:to>
      <xdr:col>1</xdr:col>
      <xdr:colOff>1150319</xdr:colOff>
      <xdr:row>16</xdr:row>
      <xdr:rowOff>14151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6A479BC-2B7E-48D5-9489-24D1C5E4ED9C}"/>
            </a:ext>
          </a:extLst>
        </xdr:cNvPr>
        <xdr:cNvSpPr/>
      </xdr:nvSpPr>
      <xdr:spPr>
        <a:xfrm>
          <a:off x="594159" y="2723605"/>
          <a:ext cx="1165760" cy="2166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Products</a:t>
          </a:r>
        </a:p>
      </xdr:txBody>
    </xdr:sp>
    <xdr:clientData/>
  </xdr:twoCellAnchor>
  <xdr:twoCellAnchor>
    <xdr:from>
      <xdr:col>0</xdr:col>
      <xdr:colOff>594159</xdr:colOff>
      <xdr:row>16</xdr:row>
      <xdr:rowOff>51162</xdr:rowOff>
    </xdr:from>
    <xdr:to>
      <xdr:col>1</xdr:col>
      <xdr:colOff>1173480</xdr:colOff>
      <xdr:row>17</xdr:row>
      <xdr:rowOff>67491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BFBA695-AF3B-4C67-8EAD-1FD1E2B9A0C4}"/>
            </a:ext>
          </a:extLst>
        </xdr:cNvPr>
        <xdr:cNvSpPr/>
      </xdr:nvSpPr>
      <xdr:spPr>
        <a:xfrm>
          <a:off x="594159" y="2977242"/>
          <a:ext cx="1188921" cy="19920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Vendors</a:t>
          </a:r>
        </a:p>
      </xdr:txBody>
    </xdr:sp>
    <xdr:clientData/>
  </xdr:twoCellAnchor>
  <xdr:twoCellAnchor>
    <xdr:from>
      <xdr:col>0</xdr:col>
      <xdr:colOff>594159</xdr:colOff>
      <xdr:row>18</xdr:row>
      <xdr:rowOff>163285</xdr:rowOff>
    </xdr:from>
    <xdr:to>
      <xdr:col>1</xdr:col>
      <xdr:colOff>1165759</xdr:colOff>
      <xdr:row>20</xdr:row>
      <xdr:rowOff>15240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BD3BD56-AFA3-41F9-B8C7-B9634095DB34}"/>
            </a:ext>
          </a:extLst>
        </xdr:cNvPr>
        <xdr:cNvSpPr/>
      </xdr:nvSpPr>
      <xdr:spPr>
        <a:xfrm>
          <a:off x="594159" y="3455125"/>
          <a:ext cx="1181200" cy="21771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latin typeface="+mj-lt"/>
            </a:rPr>
            <a:t>Purchase</a:t>
          </a:r>
        </a:p>
      </xdr:txBody>
    </xdr:sp>
    <xdr:clientData/>
  </xdr:twoCellAnchor>
  <xdr:twoCellAnchor editAs="oneCell">
    <xdr:from>
      <xdr:col>1</xdr:col>
      <xdr:colOff>807720</xdr:colOff>
      <xdr:row>11</xdr:row>
      <xdr:rowOff>160020</xdr:rowOff>
    </xdr:from>
    <xdr:to>
      <xdr:col>1</xdr:col>
      <xdr:colOff>1059180</xdr:colOff>
      <xdr:row>13</xdr:row>
      <xdr:rowOff>45720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D56480D0-CCE3-4252-B622-DD8D3B004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17320" y="217170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13</xdr:row>
      <xdr:rowOff>114300</xdr:rowOff>
    </xdr:from>
    <xdr:to>
      <xdr:col>1</xdr:col>
      <xdr:colOff>967740</xdr:colOff>
      <xdr:row>14</xdr:row>
      <xdr:rowOff>152400</xdr:rowOff>
    </xdr:to>
    <xdr:pic>
      <xdr:nvPicPr>
        <xdr:cNvPr id="13" name="Graphic 12" descr="Customer review with solid fill">
          <a:extLst>
            <a:ext uri="{FF2B5EF4-FFF2-40B4-BE49-F238E27FC236}">
              <a16:creationId xmlns:a16="http://schemas.microsoft.com/office/drawing/2014/main" id="{CF07F005-228C-4769-885A-F65921855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56360" y="24917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15</xdr:row>
      <xdr:rowOff>7620</xdr:rowOff>
    </xdr:from>
    <xdr:to>
      <xdr:col>1</xdr:col>
      <xdr:colOff>990600</xdr:colOff>
      <xdr:row>16</xdr:row>
      <xdr:rowOff>68580</xdr:rowOff>
    </xdr:to>
    <xdr:pic>
      <xdr:nvPicPr>
        <xdr:cNvPr id="14" name="Graphic 13" descr="Computer with solid fill">
          <a:extLst>
            <a:ext uri="{FF2B5EF4-FFF2-40B4-BE49-F238E27FC236}">
              <a16:creationId xmlns:a16="http://schemas.microsoft.com/office/drawing/2014/main" id="{2E92E7D8-B814-49C8-B175-E769EA8F4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56360" y="2750820"/>
          <a:ext cx="243840" cy="2438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16</xdr:row>
      <xdr:rowOff>76200</xdr:rowOff>
    </xdr:from>
    <xdr:to>
      <xdr:col>1</xdr:col>
      <xdr:colOff>929640</xdr:colOff>
      <xdr:row>17</xdr:row>
      <xdr:rowOff>76200</xdr:rowOff>
    </xdr:to>
    <xdr:pic>
      <xdr:nvPicPr>
        <xdr:cNvPr id="15" name="Graphic 14" descr="Man with solid fill">
          <a:extLst>
            <a:ext uri="{FF2B5EF4-FFF2-40B4-BE49-F238E27FC236}">
              <a16:creationId xmlns:a16="http://schemas.microsoft.com/office/drawing/2014/main" id="{68009A63-E385-4B77-BB84-2809DA9EF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356360" y="30022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17</xdr:row>
      <xdr:rowOff>160020</xdr:rowOff>
    </xdr:from>
    <xdr:to>
      <xdr:col>1</xdr:col>
      <xdr:colOff>876300</xdr:colOff>
      <xdr:row>18</xdr:row>
      <xdr:rowOff>106680</xdr:rowOff>
    </xdr:to>
    <xdr:pic>
      <xdr:nvPicPr>
        <xdr:cNvPr id="16" name="Graphic 15" descr="Clipboard with solid fill">
          <a:extLst>
            <a:ext uri="{FF2B5EF4-FFF2-40B4-BE49-F238E27FC236}">
              <a16:creationId xmlns:a16="http://schemas.microsoft.com/office/drawing/2014/main" id="{D53899CC-9625-4FDE-88B4-6A1C3C85B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356360" y="3268980"/>
          <a:ext cx="129540" cy="1295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18</xdr:row>
      <xdr:rowOff>144780</xdr:rowOff>
    </xdr:from>
    <xdr:to>
      <xdr:col>1</xdr:col>
      <xdr:colOff>998220</xdr:colOff>
      <xdr:row>20</xdr:row>
      <xdr:rowOff>30480</xdr:rowOff>
    </xdr:to>
    <xdr:pic>
      <xdr:nvPicPr>
        <xdr:cNvPr id="17" name="Graphic 16" descr="Daily calendar with solid fill">
          <a:extLst>
            <a:ext uri="{FF2B5EF4-FFF2-40B4-BE49-F238E27FC236}">
              <a16:creationId xmlns:a16="http://schemas.microsoft.com/office/drawing/2014/main" id="{2720D93A-9A16-4EE2-9EAF-BCC70FC8C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356360" y="343662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20</xdr:row>
      <xdr:rowOff>38100</xdr:rowOff>
    </xdr:from>
    <xdr:to>
      <xdr:col>1</xdr:col>
      <xdr:colOff>982980</xdr:colOff>
      <xdr:row>21</xdr:row>
      <xdr:rowOff>91440</xdr:rowOff>
    </xdr:to>
    <xdr:pic>
      <xdr:nvPicPr>
        <xdr:cNvPr id="18" name="Graphic 17" descr="Back with solid fill">
          <a:extLst>
            <a:ext uri="{FF2B5EF4-FFF2-40B4-BE49-F238E27FC236}">
              <a16:creationId xmlns:a16="http://schemas.microsoft.com/office/drawing/2014/main" id="{4D8D8A83-9BF5-4154-8117-ECFDCDA7A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356360" y="3695700"/>
          <a:ext cx="23622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21</xdr:row>
      <xdr:rowOff>91440</xdr:rowOff>
    </xdr:from>
    <xdr:to>
      <xdr:col>1</xdr:col>
      <xdr:colOff>998220</xdr:colOff>
      <xdr:row>22</xdr:row>
      <xdr:rowOff>160020</xdr:rowOff>
    </xdr:to>
    <xdr:pic>
      <xdr:nvPicPr>
        <xdr:cNvPr id="19" name="Graphic 18" descr="City with solid fill">
          <a:extLst>
            <a:ext uri="{FF2B5EF4-FFF2-40B4-BE49-F238E27FC236}">
              <a16:creationId xmlns:a16="http://schemas.microsoft.com/office/drawing/2014/main" id="{4FB0C4CC-EC35-4327-B1C6-26446F779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356360" y="3931920"/>
          <a:ext cx="251460" cy="25146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15240</xdr:rowOff>
    </xdr:from>
    <xdr:to>
      <xdr:col>21</xdr:col>
      <xdr:colOff>495300</xdr:colOff>
      <xdr:row>4</xdr:row>
      <xdr:rowOff>76200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FD99156-9DBD-4373-9056-39DC5FF750A9}"/>
            </a:ext>
          </a:extLst>
        </xdr:cNvPr>
        <xdr:cNvSpPr/>
      </xdr:nvSpPr>
      <xdr:spPr>
        <a:xfrm>
          <a:off x="2194560" y="198120"/>
          <a:ext cx="11582400" cy="609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>
              <a:solidFill>
                <a:schemeClr val="tx1"/>
              </a:solidFill>
            </a:rPr>
            <a:t>Customers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1</xdr:row>
      <xdr:rowOff>167640</xdr:rowOff>
    </xdr:from>
    <xdr:to>
      <xdr:col>1</xdr:col>
      <xdr:colOff>800100</xdr:colOff>
      <xdr:row>5</xdr:row>
      <xdr:rowOff>15240</xdr:rowOff>
    </xdr:to>
    <xdr:pic>
      <xdr:nvPicPr>
        <xdr:cNvPr id="2" name="Graphic 1" descr="Schoolhouse with solid fill">
          <a:extLst>
            <a:ext uri="{FF2B5EF4-FFF2-40B4-BE49-F238E27FC236}">
              <a16:creationId xmlns:a16="http://schemas.microsoft.com/office/drawing/2014/main" id="{6892B709-F0D5-43D8-ADFA-63E771C41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" y="350520"/>
          <a:ext cx="510540" cy="57912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0</xdr:rowOff>
    </xdr:from>
    <xdr:to>
      <xdr:col>1</xdr:col>
      <xdr:colOff>1181100</xdr:colOff>
      <xdr:row>9</xdr:row>
      <xdr:rowOff>22860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4532B71-E297-4354-8E2A-C6EAC73C352F}"/>
            </a:ext>
          </a:extLst>
        </xdr:cNvPr>
        <xdr:cNvSpPr/>
      </xdr:nvSpPr>
      <xdr:spPr>
        <a:xfrm>
          <a:off x="632460" y="914400"/>
          <a:ext cx="1158240" cy="7543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n>
                <a:noFill/>
              </a:ln>
              <a:solidFill>
                <a:schemeClr val="tx1"/>
              </a:solidFill>
            </a:rPr>
            <a:t>Inventory</a:t>
          </a:r>
          <a:r>
            <a:rPr lang="en-IN" sz="1400" b="1" baseline="0">
              <a:ln>
                <a:noFill/>
              </a:ln>
              <a:solidFill>
                <a:schemeClr val="tx1"/>
              </a:solidFill>
            </a:rPr>
            <a:t> Management System</a:t>
          </a:r>
          <a:endParaRPr lang="en-IN" sz="14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594159</xdr:colOff>
      <xdr:row>21</xdr:row>
      <xdr:rowOff>83820</xdr:rowOff>
    </xdr:from>
    <xdr:to>
      <xdr:col>1</xdr:col>
      <xdr:colOff>1165759</xdr:colOff>
      <xdr:row>22</xdr:row>
      <xdr:rowOff>99060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630EA90-D460-4269-A525-778CBE4C66C5}"/>
            </a:ext>
          </a:extLst>
        </xdr:cNvPr>
        <xdr:cNvSpPr/>
      </xdr:nvSpPr>
      <xdr:spPr>
        <a:xfrm>
          <a:off x="594159" y="3924300"/>
          <a:ext cx="1181200" cy="1981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Inventory</a:t>
          </a:r>
        </a:p>
      </xdr:txBody>
    </xdr:sp>
    <xdr:clientData/>
  </xdr:twoCellAnchor>
  <xdr:twoCellAnchor>
    <xdr:from>
      <xdr:col>0</xdr:col>
      <xdr:colOff>586539</xdr:colOff>
      <xdr:row>12</xdr:row>
      <xdr:rowOff>0</xdr:rowOff>
    </xdr:from>
    <xdr:to>
      <xdr:col>1</xdr:col>
      <xdr:colOff>1150419</xdr:colOff>
      <xdr:row>13</xdr:row>
      <xdr:rowOff>152400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1D5BD3-09FB-458E-8923-F677CCEE8CAE}"/>
            </a:ext>
          </a:extLst>
        </xdr:cNvPr>
        <xdr:cNvSpPr/>
      </xdr:nvSpPr>
      <xdr:spPr>
        <a:xfrm>
          <a:off x="586539" y="2194560"/>
          <a:ext cx="117348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594159</xdr:colOff>
      <xdr:row>13</xdr:row>
      <xdr:rowOff>82731</xdr:rowOff>
    </xdr:from>
    <xdr:to>
      <xdr:col>1</xdr:col>
      <xdr:colOff>1158039</xdr:colOff>
      <xdr:row>14</xdr:row>
      <xdr:rowOff>141514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3B0AFC5-D145-4733-AA0E-371555DAA607}"/>
            </a:ext>
          </a:extLst>
        </xdr:cNvPr>
        <xdr:cNvSpPr/>
      </xdr:nvSpPr>
      <xdr:spPr>
        <a:xfrm>
          <a:off x="594159" y="2460171"/>
          <a:ext cx="1173480" cy="24166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Customers</a:t>
          </a:r>
        </a:p>
      </xdr:txBody>
    </xdr:sp>
    <xdr:clientData/>
  </xdr:twoCellAnchor>
  <xdr:twoCellAnchor>
    <xdr:from>
      <xdr:col>0</xdr:col>
      <xdr:colOff>594159</xdr:colOff>
      <xdr:row>17</xdr:row>
      <xdr:rowOff>104502</xdr:rowOff>
    </xdr:from>
    <xdr:to>
      <xdr:col>1</xdr:col>
      <xdr:colOff>1173480</xdr:colOff>
      <xdr:row>18</xdr:row>
      <xdr:rowOff>126274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EF5A6A1-43DB-4F40-8A3E-07AE35025DAC}"/>
            </a:ext>
          </a:extLst>
        </xdr:cNvPr>
        <xdr:cNvSpPr/>
      </xdr:nvSpPr>
      <xdr:spPr>
        <a:xfrm>
          <a:off x="594159" y="3213462"/>
          <a:ext cx="1188921" cy="20465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New</a:t>
          </a:r>
          <a:r>
            <a:rPr lang="en-IN" sz="1100" baseline="0">
              <a:ln>
                <a:noFill/>
              </a:ln>
            </a:rPr>
            <a:t> Entry</a:t>
          </a:r>
          <a:endParaRPr lang="en-IN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594159</xdr:colOff>
      <xdr:row>20</xdr:row>
      <xdr:rowOff>52251</xdr:rowOff>
    </xdr:from>
    <xdr:to>
      <xdr:col>1</xdr:col>
      <xdr:colOff>1158039</xdr:colOff>
      <xdr:row>21</xdr:row>
      <xdr:rowOff>46809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ED7D02-C258-4301-B481-049083BAFD88}"/>
            </a:ext>
          </a:extLst>
        </xdr:cNvPr>
        <xdr:cNvSpPr/>
      </xdr:nvSpPr>
      <xdr:spPr>
        <a:xfrm>
          <a:off x="594159" y="3709851"/>
          <a:ext cx="1173480" cy="177438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0</xdr:col>
      <xdr:colOff>594159</xdr:colOff>
      <xdr:row>14</xdr:row>
      <xdr:rowOff>163285</xdr:rowOff>
    </xdr:from>
    <xdr:to>
      <xdr:col>1</xdr:col>
      <xdr:colOff>1150319</xdr:colOff>
      <xdr:row>16</xdr:row>
      <xdr:rowOff>14151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5EBE8E8-03AD-4899-B0BB-F56E6E22477F}"/>
            </a:ext>
          </a:extLst>
        </xdr:cNvPr>
        <xdr:cNvSpPr/>
      </xdr:nvSpPr>
      <xdr:spPr>
        <a:xfrm>
          <a:off x="594159" y="2723605"/>
          <a:ext cx="1165760" cy="2166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0</xdr:col>
      <xdr:colOff>594159</xdr:colOff>
      <xdr:row>16</xdr:row>
      <xdr:rowOff>51162</xdr:rowOff>
    </xdr:from>
    <xdr:to>
      <xdr:col>1</xdr:col>
      <xdr:colOff>1173480</xdr:colOff>
      <xdr:row>17</xdr:row>
      <xdr:rowOff>67491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27D78C5-09B4-4631-A5A0-037A40FF19A7}"/>
            </a:ext>
          </a:extLst>
        </xdr:cNvPr>
        <xdr:cNvSpPr/>
      </xdr:nvSpPr>
      <xdr:spPr>
        <a:xfrm>
          <a:off x="594159" y="2977242"/>
          <a:ext cx="1188921" cy="19920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Vendors</a:t>
          </a:r>
        </a:p>
      </xdr:txBody>
    </xdr:sp>
    <xdr:clientData/>
  </xdr:twoCellAnchor>
  <xdr:twoCellAnchor>
    <xdr:from>
      <xdr:col>0</xdr:col>
      <xdr:colOff>594159</xdr:colOff>
      <xdr:row>18</xdr:row>
      <xdr:rowOff>163285</xdr:rowOff>
    </xdr:from>
    <xdr:to>
      <xdr:col>1</xdr:col>
      <xdr:colOff>1165759</xdr:colOff>
      <xdr:row>20</xdr:row>
      <xdr:rowOff>15240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ED44EE7-BF82-4D73-9D02-CF72A968DB72}"/>
            </a:ext>
          </a:extLst>
        </xdr:cNvPr>
        <xdr:cNvSpPr/>
      </xdr:nvSpPr>
      <xdr:spPr>
        <a:xfrm>
          <a:off x="594159" y="3455125"/>
          <a:ext cx="1181200" cy="21771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latin typeface="+mj-lt"/>
            </a:rPr>
            <a:t>Purchase</a:t>
          </a:r>
        </a:p>
      </xdr:txBody>
    </xdr:sp>
    <xdr:clientData/>
  </xdr:twoCellAnchor>
  <xdr:twoCellAnchor editAs="oneCell">
    <xdr:from>
      <xdr:col>1</xdr:col>
      <xdr:colOff>807720</xdr:colOff>
      <xdr:row>11</xdr:row>
      <xdr:rowOff>160020</xdr:rowOff>
    </xdr:from>
    <xdr:to>
      <xdr:col>1</xdr:col>
      <xdr:colOff>1059180</xdr:colOff>
      <xdr:row>13</xdr:row>
      <xdr:rowOff>45720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44578D84-B51B-49DE-8FFC-0F144A76D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17320" y="217170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13</xdr:row>
      <xdr:rowOff>114300</xdr:rowOff>
    </xdr:from>
    <xdr:to>
      <xdr:col>1</xdr:col>
      <xdr:colOff>967740</xdr:colOff>
      <xdr:row>14</xdr:row>
      <xdr:rowOff>152400</xdr:rowOff>
    </xdr:to>
    <xdr:pic>
      <xdr:nvPicPr>
        <xdr:cNvPr id="13" name="Graphic 12" descr="Customer review with solid fill">
          <a:extLst>
            <a:ext uri="{FF2B5EF4-FFF2-40B4-BE49-F238E27FC236}">
              <a16:creationId xmlns:a16="http://schemas.microsoft.com/office/drawing/2014/main" id="{DC704D2B-BE4C-47E1-AF08-E3FC071AD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56360" y="24917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15</xdr:row>
      <xdr:rowOff>7620</xdr:rowOff>
    </xdr:from>
    <xdr:to>
      <xdr:col>1</xdr:col>
      <xdr:colOff>990600</xdr:colOff>
      <xdr:row>16</xdr:row>
      <xdr:rowOff>68580</xdr:rowOff>
    </xdr:to>
    <xdr:pic>
      <xdr:nvPicPr>
        <xdr:cNvPr id="14" name="Graphic 13" descr="Computer with solid fill">
          <a:extLst>
            <a:ext uri="{FF2B5EF4-FFF2-40B4-BE49-F238E27FC236}">
              <a16:creationId xmlns:a16="http://schemas.microsoft.com/office/drawing/2014/main" id="{CAC0A244-5424-4985-8709-6E3FB7B4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56360" y="2750820"/>
          <a:ext cx="243840" cy="2438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16</xdr:row>
      <xdr:rowOff>76200</xdr:rowOff>
    </xdr:from>
    <xdr:to>
      <xdr:col>1</xdr:col>
      <xdr:colOff>929640</xdr:colOff>
      <xdr:row>17</xdr:row>
      <xdr:rowOff>76200</xdr:rowOff>
    </xdr:to>
    <xdr:pic>
      <xdr:nvPicPr>
        <xdr:cNvPr id="15" name="Graphic 14" descr="Man with solid fill">
          <a:extLst>
            <a:ext uri="{FF2B5EF4-FFF2-40B4-BE49-F238E27FC236}">
              <a16:creationId xmlns:a16="http://schemas.microsoft.com/office/drawing/2014/main" id="{05EF700F-3F92-4BC1-94DA-D4055EE5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356360" y="30022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17</xdr:row>
      <xdr:rowOff>160020</xdr:rowOff>
    </xdr:from>
    <xdr:to>
      <xdr:col>1</xdr:col>
      <xdr:colOff>876300</xdr:colOff>
      <xdr:row>18</xdr:row>
      <xdr:rowOff>106680</xdr:rowOff>
    </xdr:to>
    <xdr:pic>
      <xdr:nvPicPr>
        <xdr:cNvPr id="16" name="Graphic 15" descr="Clipboard with solid fill">
          <a:extLst>
            <a:ext uri="{FF2B5EF4-FFF2-40B4-BE49-F238E27FC236}">
              <a16:creationId xmlns:a16="http://schemas.microsoft.com/office/drawing/2014/main" id="{9A0639A4-DBCD-432E-B95C-7952AD1DF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356360" y="3268980"/>
          <a:ext cx="129540" cy="1295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18</xdr:row>
      <xdr:rowOff>144780</xdr:rowOff>
    </xdr:from>
    <xdr:to>
      <xdr:col>1</xdr:col>
      <xdr:colOff>998220</xdr:colOff>
      <xdr:row>20</xdr:row>
      <xdr:rowOff>30480</xdr:rowOff>
    </xdr:to>
    <xdr:pic>
      <xdr:nvPicPr>
        <xdr:cNvPr id="17" name="Graphic 16" descr="Daily calendar with solid fill">
          <a:extLst>
            <a:ext uri="{FF2B5EF4-FFF2-40B4-BE49-F238E27FC236}">
              <a16:creationId xmlns:a16="http://schemas.microsoft.com/office/drawing/2014/main" id="{28111BC2-9C8A-4E8C-A48D-4A149229C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356360" y="343662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20</xdr:row>
      <xdr:rowOff>38100</xdr:rowOff>
    </xdr:from>
    <xdr:to>
      <xdr:col>1</xdr:col>
      <xdr:colOff>982980</xdr:colOff>
      <xdr:row>21</xdr:row>
      <xdr:rowOff>91440</xdr:rowOff>
    </xdr:to>
    <xdr:pic>
      <xdr:nvPicPr>
        <xdr:cNvPr id="18" name="Graphic 17" descr="Back with solid fill">
          <a:extLst>
            <a:ext uri="{FF2B5EF4-FFF2-40B4-BE49-F238E27FC236}">
              <a16:creationId xmlns:a16="http://schemas.microsoft.com/office/drawing/2014/main" id="{F26F6117-9DB1-490F-8E8F-D4AB9DA15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356360" y="3695700"/>
          <a:ext cx="23622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21</xdr:row>
      <xdr:rowOff>91440</xdr:rowOff>
    </xdr:from>
    <xdr:to>
      <xdr:col>1</xdr:col>
      <xdr:colOff>998220</xdr:colOff>
      <xdr:row>22</xdr:row>
      <xdr:rowOff>160020</xdr:rowOff>
    </xdr:to>
    <xdr:pic>
      <xdr:nvPicPr>
        <xdr:cNvPr id="19" name="Graphic 18" descr="City with solid fill">
          <a:extLst>
            <a:ext uri="{FF2B5EF4-FFF2-40B4-BE49-F238E27FC236}">
              <a16:creationId xmlns:a16="http://schemas.microsoft.com/office/drawing/2014/main" id="{D8867AC7-503B-483F-A1F8-0C89B1D1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356360" y="3931920"/>
          <a:ext cx="251460" cy="25146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7620</xdr:rowOff>
    </xdr:from>
    <xdr:to>
      <xdr:col>22</xdr:col>
      <xdr:colOff>91440</xdr:colOff>
      <xdr:row>4</xdr:row>
      <xdr:rowOff>68580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DD86117-FFB8-459B-BC11-B643B46D9789}"/>
            </a:ext>
          </a:extLst>
        </xdr:cNvPr>
        <xdr:cNvSpPr/>
      </xdr:nvSpPr>
      <xdr:spPr>
        <a:xfrm>
          <a:off x="2225040" y="190500"/>
          <a:ext cx="11871960" cy="609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>
              <a:solidFill>
                <a:schemeClr val="tx1"/>
              </a:solidFill>
            </a:rPr>
            <a:t>Products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1</xdr:row>
      <xdr:rowOff>167640</xdr:rowOff>
    </xdr:from>
    <xdr:to>
      <xdr:col>1</xdr:col>
      <xdr:colOff>800100</xdr:colOff>
      <xdr:row>5</xdr:row>
      <xdr:rowOff>15240</xdr:rowOff>
    </xdr:to>
    <xdr:pic>
      <xdr:nvPicPr>
        <xdr:cNvPr id="2" name="Graphic 1" descr="Schoolhouse with solid fill">
          <a:extLst>
            <a:ext uri="{FF2B5EF4-FFF2-40B4-BE49-F238E27FC236}">
              <a16:creationId xmlns:a16="http://schemas.microsoft.com/office/drawing/2014/main" id="{0A124730-4EBC-420F-990A-A82B53C39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" y="350520"/>
          <a:ext cx="510540" cy="57912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60960</xdr:rowOff>
    </xdr:from>
    <xdr:to>
      <xdr:col>1</xdr:col>
      <xdr:colOff>1181100</xdr:colOff>
      <xdr:row>9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1FF927A-A116-4427-97DC-4C9F04AD39BD}"/>
            </a:ext>
          </a:extLst>
        </xdr:cNvPr>
        <xdr:cNvSpPr/>
      </xdr:nvSpPr>
      <xdr:spPr>
        <a:xfrm>
          <a:off x="632460" y="975360"/>
          <a:ext cx="1158240" cy="746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n>
                <a:noFill/>
              </a:ln>
              <a:solidFill>
                <a:schemeClr val="tx1"/>
              </a:solidFill>
            </a:rPr>
            <a:t>Inventory</a:t>
          </a:r>
          <a:r>
            <a:rPr lang="en-IN" sz="1400" b="1" baseline="0">
              <a:ln>
                <a:noFill/>
              </a:ln>
              <a:solidFill>
                <a:schemeClr val="tx1"/>
              </a:solidFill>
            </a:rPr>
            <a:t> Management System</a:t>
          </a:r>
          <a:endParaRPr lang="en-IN" sz="14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594159</xdr:colOff>
      <xdr:row>21</xdr:row>
      <xdr:rowOff>83820</xdr:rowOff>
    </xdr:from>
    <xdr:to>
      <xdr:col>1</xdr:col>
      <xdr:colOff>1165759</xdr:colOff>
      <xdr:row>22</xdr:row>
      <xdr:rowOff>99060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22F9F6-A6D0-4A6B-A52C-5888CC6D88DA}"/>
            </a:ext>
          </a:extLst>
        </xdr:cNvPr>
        <xdr:cNvSpPr/>
      </xdr:nvSpPr>
      <xdr:spPr>
        <a:xfrm>
          <a:off x="594159" y="3924300"/>
          <a:ext cx="1181200" cy="1981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Inventory</a:t>
          </a:r>
        </a:p>
      </xdr:txBody>
    </xdr:sp>
    <xdr:clientData/>
  </xdr:twoCellAnchor>
  <xdr:twoCellAnchor>
    <xdr:from>
      <xdr:col>0</xdr:col>
      <xdr:colOff>586539</xdr:colOff>
      <xdr:row>12</xdr:row>
      <xdr:rowOff>0</xdr:rowOff>
    </xdr:from>
    <xdr:to>
      <xdr:col>1</xdr:col>
      <xdr:colOff>1150419</xdr:colOff>
      <xdr:row>13</xdr:row>
      <xdr:rowOff>152400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C3F73A-F462-448E-88F2-1F135082D032}"/>
            </a:ext>
          </a:extLst>
        </xdr:cNvPr>
        <xdr:cNvSpPr/>
      </xdr:nvSpPr>
      <xdr:spPr>
        <a:xfrm>
          <a:off x="586539" y="2194560"/>
          <a:ext cx="117348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594159</xdr:colOff>
      <xdr:row>13</xdr:row>
      <xdr:rowOff>82731</xdr:rowOff>
    </xdr:from>
    <xdr:to>
      <xdr:col>1</xdr:col>
      <xdr:colOff>1158039</xdr:colOff>
      <xdr:row>14</xdr:row>
      <xdr:rowOff>141514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69D721-35F7-4C36-983B-D3126B69B0F8}"/>
            </a:ext>
          </a:extLst>
        </xdr:cNvPr>
        <xdr:cNvSpPr/>
      </xdr:nvSpPr>
      <xdr:spPr>
        <a:xfrm>
          <a:off x="594159" y="2460171"/>
          <a:ext cx="1173480" cy="24166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Customers</a:t>
          </a:r>
        </a:p>
      </xdr:txBody>
    </xdr:sp>
    <xdr:clientData/>
  </xdr:twoCellAnchor>
  <xdr:twoCellAnchor>
    <xdr:from>
      <xdr:col>0</xdr:col>
      <xdr:colOff>594159</xdr:colOff>
      <xdr:row>17</xdr:row>
      <xdr:rowOff>104502</xdr:rowOff>
    </xdr:from>
    <xdr:to>
      <xdr:col>1</xdr:col>
      <xdr:colOff>1173480</xdr:colOff>
      <xdr:row>18</xdr:row>
      <xdr:rowOff>126274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F6FCC6A-3D29-47CB-8090-516C16DDDDC2}"/>
            </a:ext>
          </a:extLst>
        </xdr:cNvPr>
        <xdr:cNvSpPr/>
      </xdr:nvSpPr>
      <xdr:spPr>
        <a:xfrm>
          <a:off x="594159" y="3213462"/>
          <a:ext cx="1188921" cy="20465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New</a:t>
          </a:r>
          <a:r>
            <a:rPr lang="en-IN" sz="1100" baseline="0">
              <a:ln>
                <a:noFill/>
              </a:ln>
            </a:rPr>
            <a:t> Entry</a:t>
          </a:r>
          <a:endParaRPr lang="en-IN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594159</xdr:colOff>
      <xdr:row>20</xdr:row>
      <xdr:rowOff>52251</xdr:rowOff>
    </xdr:from>
    <xdr:to>
      <xdr:col>1</xdr:col>
      <xdr:colOff>1158039</xdr:colOff>
      <xdr:row>21</xdr:row>
      <xdr:rowOff>46809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62C891-0C0D-429B-A381-F02FA4D61507}"/>
            </a:ext>
          </a:extLst>
        </xdr:cNvPr>
        <xdr:cNvSpPr/>
      </xdr:nvSpPr>
      <xdr:spPr>
        <a:xfrm>
          <a:off x="594159" y="3709851"/>
          <a:ext cx="1173480" cy="177438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0</xdr:col>
      <xdr:colOff>594159</xdr:colOff>
      <xdr:row>14</xdr:row>
      <xdr:rowOff>163285</xdr:rowOff>
    </xdr:from>
    <xdr:to>
      <xdr:col>1</xdr:col>
      <xdr:colOff>1150319</xdr:colOff>
      <xdr:row>16</xdr:row>
      <xdr:rowOff>14151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680330E-0025-445F-9702-4988646FE0B1}"/>
            </a:ext>
          </a:extLst>
        </xdr:cNvPr>
        <xdr:cNvSpPr/>
      </xdr:nvSpPr>
      <xdr:spPr>
        <a:xfrm>
          <a:off x="594159" y="2723605"/>
          <a:ext cx="1165760" cy="2166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Products</a:t>
          </a:r>
        </a:p>
      </xdr:txBody>
    </xdr:sp>
    <xdr:clientData/>
  </xdr:twoCellAnchor>
  <xdr:twoCellAnchor>
    <xdr:from>
      <xdr:col>0</xdr:col>
      <xdr:colOff>594159</xdr:colOff>
      <xdr:row>16</xdr:row>
      <xdr:rowOff>51162</xdr:rowOff>
    </xdr:from>
    <xdr:to>
      <xdr:col>1</xdr:col>
      <xdr:colOff>1173480</xdr:colOff>
      <xdr:row>17</xdr:row>
      <xdr:rowOff>67491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DDDAB5F-23B4-4CD2-9832-70A85DEFBA85}"/>
            </a:ext>
          </a:extLst>
        </xdr:cNvPr>
        <xdr:cNvSpPr/>
      </xdr:nvSpPr>
      <xdr:spPr>
        <a:xfrm>
          <a:off x="594159" y="2977242"/>
          <a:ext cx="1188921" cy="19920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n>
                <a:noFill/>
              </a:ln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0</xdr:col>
      <xdr:colOff>594159</xdr:colOff>
      <xdr:row>18</xdr:row>
      <xdr:rowOff>163285</xdr:rowOff>
    </xdr:from>
    <xdr:to>
      <xdr:col>1</xdr:col>
      <xdr:colOff>1165759</xdr:colOff>
      <xdr:row>20</xdr:row>
      <xdr:rowOff>15240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2037E2D-F9C9-454A-9613-065AB9A3D241}"/>
            </a:ext>
          </a:extLst>
        </xdr:cNvPr>
        <xdr:cNvSpPr/>
      </xdr:nvSpPr>
      <xdr:spPr>
        <a:xfrm>
          <a:off x="594159" y="3455125"/>
          <a:ext cx="1181200" cy="21771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latin typeface="+mj-lt"/>
            </a:rPr>
            <a:t>Purchase</a:t>
          </a:r>
        </a:p>
      </xdr:txBody>
    </xdr:sp>
    <xdr:clientData/>
  </xdr:twoCellAnchor>
  <xdr:twoCellAnchor editAs="oneCell">
    <xdr:from>
      <xdr:col>1</xdr:col>
      <xdr:colOff>807720</xdr:colOff>
      <xdr:row>11</xdr:row>
      <xdr:rowOff>160020</xdr:rowOff>
    </xdr:from>
    <xdr:to>
      <xdr:col>1</xdr:col>
      <xdr:colOff>1059180</xdr:colOff>
      <xdr:row>13</xdr:row>
      <xdr:rowOff>45720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891183D0-9D3F-435F-B903-5EF9A580F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17320" y="217170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13</xdr:row>
      <xdr:rowOff>114300</xdr:rowOff>
    </xdr:from>
    <xdr:to>
      <xdr:col>1</xdr:col>
      <xdr:colOff>967740</xdr:colOff>
      <xdr:row>14</xdr:row>
      <xdr:rowOff>152400</xdr:rowOff>
    </xdr:to>
    <xdr:pic>
      <xdr:nvPicPr>
        <xdr:cNvPr id="13" name="Graphic 12" descr="Customer review with solid fill">
          <a:extLst>
            <a:ext uri="{FF2B5EF4-FFF2-40B4-BE49-F238E27FC236}">
              <a16:creationId xmlns:a16="http://schemas.microsoft.com/office/drawing/2014/main" id="{91134E46-F816-4A4B-BC46-2D1040015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56360" y="24917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15</xdr:row>
      <xdr:rowOff>7620</xdr:rowOff>
    </xdr:from>
    <xdr:to>
      <xdr:col>1</xdr:col>
      <xdr:colOff>990600</xdr:colOff>
      <xdr:row>16</xdr:row>
      <xdr:rowOff>68580</xdr:rowOff>
    </xdr:to>
    <xdr:pic>
      <xdr:nvPicPr>
        <xdr:cNvPr id="14" name="Graphic 13" descr="Computer with solid fill">
          <a:extLst>
            <a:ext uri="{FF2B5EF4-FFF2-40B4-BE49-F238E27FC236}">
              <a16:creationId xmlns:a16="http://schemas.microsoft.com/office/drawing/2014/main" id="{12063DAD-9726-4DB8-8757-076817C8C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56360" y="2750820"/>
          <a:ext cx="243840" cy="2438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16</xdr:row>
      <xdr:rowOff>76200</xdr:rowOff>
    </xdr:from>
    <xdr:to>
      <xdr:col>1</xdr:col>
      <xdr:colOff>929640</xdr:colOff>
      <xdr:row>17</xdr:row>
      <xdr:rowOff>76200</xdr:rowOff>
    </xdr:to>
    <xdr:pic>
      <xdr:nvPicPr>
        <xdr:cNvPr id="15" name="Graphic 14" descr="Man with solid fill">
          <a:extLst>
            <a:ext uri="{FF2B5EF4-FFF2-40B4-BE49-F238E27FC236}">
              <a16:creationId xmlns:a16="http://schemas.microsoft.com/office/drawing/2014/main" id="{A96B1BA5-FC49-4F0C-AD08-F9F55A9F6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356360" y="30022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17</xdr:row>
      <xdr:rowOff>160020</xdr:rowOff>
    </xdr:from>
    <xdr:to>
      <xdr:col>1</xdr:col>
      <xdr:colOff>876300</xdr:colOff>
      <xdr:row>18</xdr:row>
      <xdr:rowOff>106680</xdr:rowOff>
    </xdr:to>
    <xdr:pic>
      <xdr:nvPicPr>
        <xdr:cNvPr id="16" name="Graphic 15" descr="Clipboard with solid fill">
          <a:extLst>
            <a:ext uri="{FF2B5EF4-FFF2-40B4-BE49-F238E27FC236}">
              <a16:creationId xmlns:a16="http://schemas.microsoft.com/office/drawing/2014/main" id="{DD729021-F98D-4F81-9F80-98921FF2C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356360" y="3268980"/>
          <a:ext cx="129540" cy="1295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18</xdr:row>
      <xdr:rowOff>144780</xdr:rowOff>
    </xdr:from>
    <xdr:to>
      <xdr:col>1</xdr:col>
      <xdr:colOff>998220</xdr:colOff>
      <xdr:row>20</xdr:row>
      <xdr:rowOff>30480</xdr:rowOff>
    </xdr:to>
    <xdr:pic>
      <xdr:nvPicPr>
        <xdr:cNvPr id="17" name="Graphic 16" descr="Daily calendar with solid fill">
          <a:extLst>
            <a:ext uri="{FF2B5EF4-FFF2-40B4-BE49-F238E27FC236}">
              <a16:creationId xmlns:a16="http://schemas.microsoft.com/office/drawing/2014/main" id="{F0D38A33-622A-49A6-83EB-F077EC11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356360" y="343662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20</xdr:row>
      <xdr:rowOff>38100</xdr:rowOff>
    </xdr:from>
    <xdr:to>
      <xdr:col>1</xdr:col>
      <xdr:colOff>982980</xdr:colOff>
      <xdr:row>21</xdr:row>
      <xdr:rowOff>91440</xdr:rowOff>
    </xdr:to>
    <xdr:pic>
      <xdr:nvPicPr>
        <xdr:cNvPr id="18" name="Graphic 17" descr="Back with solid fill">
          <a:extLst>
            <a:ext uri="{FF2B5EF4-FFF2-40B4-BE49-F238E27FC236}">
              <a16:creationId xmlns:a16="http://schemas.microsoft.com/office/drawing/2014/main" id="{83E78A78-0FE4-41CA-B00D-B78C3080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356360" y="3695700"/>
          <a:ext cx="23622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21</xdr:row>
      <xdr:rowOff>91440</xdr:rowOff>
    </xdr:from>
    <xdr:to>
      <xdr:col>1</xdr:col>
      <xdr:colOff>998220</xdr:colOff>
      <xdr:row>22</xdr:row>
      <xdr:rowOff>160020</xdr:rowOff>
    </xdr:to>
    <xdr:pic>
      <xdr:nvPicPr>
        <xdr:cNvPr id="19" name="Graphic 18" descr="City with solid fill">
          <a:extLst>
            <a:ext uri="{FF2B5EF4-FFF2-40B4-BE49-F238E27FC236}">
              <a16:creationId xmlns:a16="http://schemas.microsoft.com/office/drawing/2014/main" id="{71DDCA59-A873-4F38-BA41-872ECEA0A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356360" y="3931920"/>
          <a:ext cx="251460" cy="251460"/>
        </a:xfrm>
        <a:prstGeom prst="rect">
          <a:avLst/>
        </a:prstGeom>
      </xdr:spPr>
    </xdr:pic>
    <xdr:clientData/>
  </xdr:twoCellAnchor>
  <xdr:twoCellAnchor editAs="absolute">
    <xdr:from>
      <xdr:col>2</xdr:col>
      <xdr:colOff>396240</xdr:colOff>
      <xdr:row>1</xdr:row>
      <xdr:rowOff>7620</xdr:rowOff>
    </xdr:from>
    <xdr:to>
      <xdr:col>22</xdr:col>
      <xdr:colOff>91440</xdr:colOff>
      <xdr:row>4</xdr:row>
      <xdr:rowOff>68580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F1160A5-0EA9-42F0-818F-1BD0E3176D32}"/>
            </a:ext>
          </a:extLst>
        </xdr:cNvPr>
        <xdr:cNvSpPr/>
      </xdr:nvSpPr>
      <xdr:spPr>
        <a:xfrm>
          <a:off x="2209800" y="190500"/>
          <a:ext cx="11887200" cy="609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>
              <a:solidFill>
                <a:schemeClr val="tx1"/>
              </a:solidFill>
            </a:rPr>
            <a:t>Vendors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1</xdr:row>
      <xdr:rowOff>167640</xdr:rowOff>
    </xdr:from>
    <xdr:to>
      <xdr:col>1</xdr:col>
      <xdr:colOff>800100</xdr:colOff>
      <xdr:row>5</xdr:row>
      <xdr:rowOff>15240</xdr:rowOff>
    </xdr:to>
    <xdr:pic>
      <xdr:nvPicPr>
        <xdr:cNvPr id="2" name="Graphic 1" descr="Schoolhouse with solid fill">
          <a:extLst>
            <a:ext uri="{FF2B5EF4-FFF2-40B4-BE49-F238E27FC236}">
              <a16:creationId xmlns:a16="http://schemas.microsoft.com/office/drawing/2014/main" id="{2373EE39-49E7-4B61-86CD-A47DDEC79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" y="350520"/>
          <a:ext cx="510540" cy="57912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60960</xdr:rowOff>
    </xdr:from>
    <xdr:to>
      <xdr:col>1</xdr:col>
      <xdr:colOff>1181100</xdr:colOff>
      <xdr:row>9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7B3D366-613B-4AB9-9280-286AB2A48EEC}"/>
            </a:ext>
          </a:extLst>
        </xdr:cNvPr>
        <xdr:cNvSpPr/>
      </xdr:nvSpPr>
      <xdr:spPr>
        <a:xfrm>
          <a:off x="632460" y="975360"/>
          <a:ext cx="1158240" cy="746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n>
                <a:noFill/>
              </a:ln>
              <a:solidFill>
                <a:schemeClr val="tx1"/>
              </a:solidFill>
            </a:rPr>
            <a:t>Inventory</a:t>
          </a:r>
          <a:r>
            <a:rPr lang="en-IN" sz="1400" b="1" baseline="0">
              <a:ln>
                <a:noFill/>
              </a:ln>
              <a:solidFill>
                <a:schemeClr val="tx1"/>
              </a:solidFill>
            </a:rPr>
            <a:t> Management System</a:t>
          </a:r>
          <a:endParaRPr lang="en-IN" sz="14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594159</xdr:colOff>
      <xdr:row>21</xdr:row>
      <xdr:rowOff>83820</xdr:rowOff>
    </xdr:from>
    <xdr:to>
      <xdr:col>1</xdr:col>
      <xdr:colOff>1165759</xdr:colOff>
      <xdr:row>22</xdr:row>
      <xdr:rowOff>99060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1021E6-EBA2-4DDE-A96B-B03FFD922E4C}"/>
            </a:ext>
          </a:extLst>
        </xdr:cNvPr>
        <xdr:cNvSpPr/>
      </xdr:nvSpPr>
      <xdr:spPr>
        <a:xfrm>
          <a:off x="594159" y="3924300"/>
          <a:ext cx="1181200" cy="1981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Inventory</a:t>
          </a:r>
        </a:p>
      </xdr:txBody>
    </xdr:sp>
    <xdr:clientData/>
  </xdr:twoCellAnchor>
  <xdr:twoCellAnchor>
    <xdr:from>
      <xdr:col>0</xdr:col>
      <xdr:colOff>586539</xdr:colOff>
      <xdr:row>12</xdr:row>
      <xdr:rowOff>0</xdr:rowOff>
    </xdr:from>
    <xdr:to>
      <xdr:col>1</xdr:col>
      <xdr:colOff>1150419</xdr:colOff>
      <xdr:row>13</xdr:row>
      <xdr:rowOff>152400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81E9056-80A8-4FBE-8AB0-6125590E0F96}"/>
            </a:ext>
          </a:extLst>
        </xdr:cNvPr>
        <xdr:cNvSpPr/>
      </xdr:nvSpPr>
      <xdr:spPr>
        <a:xfrm>
          <a:off x="586539" y="2194560"/>
          <a:ext cx="117348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594159</xdr:colOff>
      <xdr:row>13</xdr:row>
      <xdr:rowOff>82731</xdr:rowOff>
    </xdr:from>
    <xdr:to>
      <xdr:col>1</xdr:col>
      <xdr:colOff>1158039</xdr:colOff>
      <xdr:row>14</xdr:row>
      <xdr:rowOff>141514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896ECE-D7C2-4E78-BE5B-22F6CA2D878D}"/>
            </a:ext>
          </a:extLst>
        </xdr:cNvPr>
        <xdr:cNvSpPr/>
      </xdr:nvSpPr>
      <xdr:spPr>
        <a:xfrm>
          <a:off x="594159" y="2460171"/>
          <a:ext cx="1173480" cy="24166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Customers</a:t>
          </a:r>
        </a:p>
      </xdr:txBody>
    </xdr:sp>
    <xdr:clientData/>
  </xdr:twoCellAnchor>
  <xdr:twoCellAnchor>
    <xdr:from>
      <xdr:col>0</xdr:col>
      <xdr:colOff>594159</xdr:colOff>
      <xdr:row>17</xdr:row>
      <xdr:rowOff>104502</xdr:rowOff>
    </xdr:from>
    <xdr:to>
      <xdr:col>1</xdr:col>
      <xdr:colOff>1173480</xdr:colOff>
      <xdr:row>18</xdr:row>
      <xdr:rowOff>126274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405611A-2713-433D-BFCF-AF1C76171A1D}"/>
            </a:ext>
          </a:extLst>
        </xdr:cNvPr>
        <xdr:cNvSpPr/>
      </xdr:nvSpPr>
      <xdr:spPr>
        <a:xfrm>
          <a:off x="594159" y="3213462"/>
          <a:ext cx="1188921" cy="20465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n>
                <a:noFill/>
              </a:ln>
              <a:solidFill>
                <a:schemeClr val="tx1"/>
              </a:solidFill>
            </a:rPr>
            <a:t>New</a:t>
          </a:r>
          <a:r>
            <a:rPr lang="en-IN" sz="1100" b="1" baseline="0">
              <a:ln>
                <a:noFill/>
              </a:ln>
            </a:rPr>
            <a:t> </a:t>
          </a:r>
          <a:r>
            <a:rPr lang="en-IN" sz="1100" b="1" baseline="0">
              <a:ln>
                <a:noFill/>
              </a:ln>
              <a:solidFill>
                <a:schemeClr val="tx1"/>
              </a:solidFill>
            </a:rPr>
            <a:t>Entry</a:t>
          </a:r>
          <a:endParaRPr lang="en-IN" sz="11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594159</xdr:colOff>
      <xdr:row>20</xdr:row>
      <xdr:rowOff>52251</xdr:rowOff>
    </xdr:from>
    <xdr:to>
      <xdr:col>1</xdr:col>
      <xdr:colOff>1158039</xdr:colOff>
      <xdr:row>21</xdr:row>
      <xdr:rowOff>46809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86C108-397B-4FC9-8BCF-8CE2A37B3D83}"/>
            </a:ext>
          </a:extLst>
        </xdr:cNvPr>
        <xdr:cNvSpPr/>
      </xdr:nvSpPr>
      <xdr:spPr>
        <a:xfrm>
          <a:off x="594159" y="3709851"/>
          <a:ext cx="1173480" cy="177438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0</xdr:col>
      <xdr:colOff>594159</xdr:colOff>
      <xdr:row>14</xdr:row>
      <xdr:rowOff>163285</xdr:rowOff>
    </xdr:from>
    <xdr:to>
      <xdr:col>1</xdr:col>
      <xdr:colOff>1150319</xdr:colOff>
      <xdr:row>16</xdr:row>
      <xdr:rowOff>14151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97DB49-74A5-4E8A-88BF-327729B8AFEF}"/>
            </a:ext>
          </a:extLst>
        </xdr:cNvPr>
        <xdr:cNvSpPr/>
      </xdr:nvSpPr>
      <xdr:spPr>
        <a:xfrm>
          <a:off x="594159" y="2723605"/>
          <a:ext cx="1165760" cy="2166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Products</a:t>
          </a:r>
        </a:p>
      </xdr:txBody>
    </xdr:sp>
    <xdr:clientData/>
  </xdr:twoCellAnchor>
  <xdr:twoCellAnchor>
    <xdr:from>
      <xdr:col>0</xdr:col>
      <xdr:colOff>594159</xdr:colOff>
      <xdr:row>16</xdr:row>
      <xdr:rowOff>51162</xdr:rowOff>
    </xdr:from>
    <xdr:to>
      <xdr:col>1</xdr:col>
      <xdr:colOff>1173480</xdr:colOff>
      <xdr:row>17</xdr:row>
      <xdr:rowOff>67491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F914E79-80C5-475F-BA85-25209EB40A41}"/>
            </a:ext>
          </a:extLst>
        </xdr:cNvPr>
        <xdr:cNvSpPr/>
      </xdr:nvSpPr>
      <xdr:spPr>
        <a:xfrm>
          <a:off x="594159" y="2977242"/>
          <a:ext cx="1188921" cy="19920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Vendors</a:t>
          </a:r>
        </a:p>
      </xdr:txBody>
    </xdr:sp>
    <xdr:clientData/>
  </xdr:twoCellAnchor>
  <xdr:twoCellAnchor>
    <xdr:from>
      <xdr:col>0</xdr:col>
      <xdr:colOff>594159</xdr:colOff>
      <xdr:row>18</xdr:row>
      <xdr:rowOff>163285</xdr:rowOff>
    </xdr:from>
    <xdr:to>
      <xdr:col>1</xdr:col>
      <xdr:colOff>1165759</xdr:colOff>
      <xdr:row>20</xdr:row>
      <xdr:rowOff>15240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DF54F3E-A93B-42B5-A29E-B876612A0CA4}"/>
            </a:ext>
          </a:extLst>
        </xdr:cNvPr>
        <xdr:cNvSpPr/>
      </xdr:nvSpPr>
      <xdr:spPr>
        <a:xfrm>
          <a:off x="594159" y="3455125"/>
          <a:ext cx="1181200" cy="21771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latin typeface="+mj-lt"/>
            </a:rPr>
            <a:t>Purchase</a:t>
          </a:r>
        </a:p>
      </xdr:txBody>
    </xdr:sp>
    <xdr:clientData/>
  </xdr:twoCellAnchor>
  <xdr:twoCellAnchor editAs="oneCell">
    <xdr:from>
      <xdr:col>1</xdr:col>
      <xdr:colOff>807720</xdr:colOff>
      <xdr:row>11</xdr:row>
      <xdr:rowOff>160020</xdr:rowOff>
    </xdr:from>
    <xdr:to>
      <xdr:col>1</xdr:col>
      <xdr:colOff>1059180</xdr:colOff>
      <xdr:row>13</xdr:row>
      <xdr:rowOff>30480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AB5784FE-D54D-40E4-BD8A-31DFA921D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17320" y="217170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13</xdr:row>
      <xdr:rowOff>114300</xdr:rowOff>
    </xdr:from>
    <xdr:to>
      <xdr:col>1</xdr:col>
      <xdr:colOff>967740</xdr:colOff>
      <xdr:row>14</xdr:row>
      <xdr:rowOff>152400</xdr:rowOff>
    </xdr:to>
    <xdr:pic>
      <xdr:nvPicPr>
        <xdr:cNvPr id="13" name="Graphic 12" descr="Customer review with solid fill">
          <a:extLst>
            <a:ext uri="{FF2B5EF4-FFF2-40B4-BE49-F238E27FC236}">
              <a16:creationId xmlns:a16="http://schemas.microsoft.com/office/drawing/2014/main" id="{34AB68AD-7D9A-4F8F-96C5-318BF15F4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56360" y="24917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15</xdr:row>
      <xdr:rowOff>7620</xdr:rowOff>
    </xdr:from>
    <xdr:to>
      <xdr:col>1</xdr:col>
      <xdr:colOff>990600</xdr:colOff>
      <xdr:row>16</xdr:row>
      <xdr:rowOff>68580</xdr:rowOff>
    </xdr:to>
    <xdr:pic>
      <xdr:nvPicPr>
        <xdr:cNvPr id="14" name="Graphic 13" descr="Computer with solid fill">
          <a:extLst>
            <a:ext uri="{FF2B5EF4-FFF2-40B4-BE49-F238E27FC236}">
              <a16:creationId xmlns:a16="http://schemas.microsoft.com/office/drawing/2014/main" id="{7310B1AD-25E8-4092-B2DF-91011816A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56360" y="2750820"/>
          <a:ext cx="243840" cy="2438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16</xdr:row>
      <xdr:rowOff>76200</xdr:rowOff>
    </xdr:from>
    <xdr:to>
      <xdr:col>1</xdr:col>
      <xdr:colOff>929640</xdr:colOff>
      <xdr:row>17</xdr:row>
      <xdr:rowOff>76200</xdr:rowOff>
    </xdr:to>
    <xdr:pic>
      <xdr:nvPicPr>
        <xdr:cNvPr id="15" name="Graphic 14" descr="Man with solid fill">
          <a:extLst>
            <a:ext uri="{FF2B5EF4-FFF2-40B4-BE49-F238E27FC236}">
              <a16:creationId xmlns:a16="http://schemas.microsoft.com/office/drawing/2014/main" id="{AF845224-B508-43BF-8BA4-234AD0CB7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356360" y="30022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17</xdr:row>
      <xdr:rowOff>160020</xdr:rowOff>
    </xdr:from>
    <xdr:to>
      <xdr:col>1</xdr:col>
      <xdr:colOff>876300</xdr:colOff>
      <xdr:row>18</xdr:row>
      <xdr:rowOff>106680</xdr:rowOff>
    </xdr:to>
    <xdr:pic>
      <xdr:nvPicPr>
        <xdr:cNvPr id="16" name="Graphic 15" descr="Clipboard with solid fill">
          <a:extLst>
            <a:ext uri="{FF2B5EF4-FFF2-40B4-BE49-F238E27FC236}">
              <a16:creationId xmlns:a16="http://schemas.microsoft.com/office/drawing/2014/main" id="{78CB1538-CEF1-4157-91AF-27BDB5D10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356360" y="3268980"/>
          <a:ext cx="129540" cy="1295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18</xdr:row>
      <xdr:rowOff>144780</xdr:rowOff>
    </xdr:from>
    <xdr:to>
      <xdr:col>1</xdr:col>
      <xdr:colOff>998220</xdr:colOff>
      <xdr:row>20</xdr:row>
      <xdr:rowOff>30480</xdr:rowOff>
    </xdr:to>
    <xdr:pic>
      <xdr:nvPicPr>
        <xdr:cNvPr id="17" name="Graphic 16" descr="Daily calendar with solid fill">
          <a:extLst>
            <a:ext uri="{FF2B5EF4-FFF2-40B4-BE49-F238E27FC236}">
              <a16:creationId xmlns:a16="http://schemas.microsoft.com/office/drawing/2014/main" id="{BAC34983-1F2C-47DA-B09C-D7ACD7F26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356360" y="343662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20</xdr:row>
      <xdr:rowOff>38100</xdr:rowOff>
    </xdr:from>
    <xdr:to>
      <xdr:col>1</xdr:col>
      <xdr:colOff>982980</xdr:colOff>
      <xdr:row>21</xdr:row>
      <xdr:rowOff>91440</xdr:rowOff>
    </xdr:to>
    <xdr:pic>
      <xdr:nvPicPr>
        <xdr:cNvPr id="18" name="Graphic 17" descr="Back with solid fill">
          <a:extLst>
            <a:ext uri="{FF2B5EF4-FFF2-40B4-BE49-F238E27FC236}">
              <a16:creationId xmlns:a16="http://schemas.microsoft.com/office/drawing/2014/main" id="{D9E856A8-0AB1-48DB-9019-45EBF19FF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356360" y="3695700"/>
          <a:ext cx="23622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21</xdr:row>
      <xdr:rowOff>91440</xdr:rowOff>
    </xdr:from>
    <xdr:to>
      <xdr:col>1</xdr:col>
      <xdr:colOff>998220</xdr:colOff>
      <xdr:row>22</xdr:row>
      <xdr:rowOff>160020</xdr:rowOff>
    </xdr:to>
    <xdr:pic>
      <xdr:nvPicPr>
        <xdr:cNvPr id="19" name="Graphic 18" descr="City with solid fill">
          <a:extLst>
            <a:ext uri="{FF2B5EF4-FFF2-40B4-BE49-F238E27FC236}">
              <a16:creationId xmlns:a16="http://schemas.microsoft.com/office/drawing/2014/main" id="{B2CF9A61-1BB6-48F2-B71A-4668A7CD0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356360" y="3931920"/>
          <a:ext cx="251460" cy="251460"/>
        </a:xfrm>
        <a:prstGeom prst="rect">
          <a:avLst/>
        </a:prstGeom>
      </xdr:spPr>
    </xdr:pic>
    <xdr:clientData/>
  </xdr:twoCellAnchor>
  <xdr:twoCellAnchor>
    <xdr:from>
      <xdr:col>2</xdr:col>
      <xdr:colOff>396240</xdr:colOff>
      <xdr:row>1</xdr:row>
      <xdr:rowOff>7620</xdr:rowOff>
    </xdr:from>
    <xdr:to>
      <xdr:col>22</xdr:col>
      <xdr:colOff>91440</xdr:colOff>
      <xdr:row>4</xdr:row>
      <xdr:rowOff>68580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59A94A4-B0AF-4871-82BE-740A5268FD7E}"/>
            </a:ext>
          </a:extLst>
        </xdr:cNvPr>
        <xdr:cNvSpPr/>
      </xdr:nvSpPr>
      <xdr:spPr>
        <a:xfrm>
          <a:off x="2209800" y="190500"/>
          <a:ext cx="11887200" cy="609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>
              <a:solidFill>
                <a:schemeClr val="tx1"/>
              </a:solidFill>
            </a:rPr>
            <a:t>New Entry</a:t>
          </a:r>
        </a:p>
      </xdr:txBody>
    </xdr:sp>
    <xdr:clientData/>
  </xdr:twoCellAnchor>
  <xdr:twoCellAnchor editAs="oneCell">
    <xdr:from>
      <xdr:col>5</xdr:col>
      <xdr:colOff>502920</xdr:colOff>
      <xdr:row>8</xdr:row>
      <xdr:rowOff>121920</xdr:rowOff>
    </xdr:from>
    <xdr:to>
      <xdr:col>6</xdr:col>
      <xdr:colOff>259080</xdr:colOff>
      <xdr:row>10</xdr:row>
      <xdr:rowOff>106680</xdr:rowOff>
    </xdr:to>
    <xdr:pic>
      <xdr:nvPicPr>
        <xdr:cNvPr id="22" name="Graphic 21" descr="Line arrow: Straight with solid fill">
          <a:extLst>
            <a:ext uri="{FF2B5EF4-FFF2-40B4-BE49-F238E27FC236}">
              <a16:creationId xmlns:a16="http://schemas.microsoft.com/office/drawing/2014/main" id="{65122F3B-F81C-4457-45DF-36DB4BF8B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145280" y="158496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5</xdr:col>
      <xdr:colOff>167640</xdr:colOff>
      <xdr:row>11</xdr:row>
      <xdr:rowOff>83820</xdr:rowOff>
    </xdr:from>
    <xdr:to>
      <xdr:col>5</xdr:col>
      <xdr:colOff>556260</xdr:colOff>
      <xdr:row>13</xdr:row>
      <xdr:rowOff>91440</xdr:rowOff>
    </xdr:to>
    <xdr:pic>
      <xdr:nvPicPr>
        <xdr:cNvPr id="24" name="Graphic 23" descr="Line arrow: Rotate right with solid fill">
          <a:extLst>
            <a:ext uri="{FF2B5EF4-FFF2-40B4-BE49-F238E27FC236}">
              <a16:creationId xmlns:a16="http://schemas.microsoft.com/office/drawing/2014/main" id="{F2EE84B0-2CCF-24A4-0F14-34A9944E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810000" y="2110740"/>
          <a:ext cx="388620" cy="3886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1</xdr:row>
      <xdr:rowOff>167640</xdr:rowOff>
    </xdr:from>
    <xdr:to>
      <xdr:col>1</xdr:col>
      <xdr:colOff>800100</xdr:colOff>
      <xdr:row>5</xdr:row>
      <xdr:rowOff>15240</xdr:rowOff>
    </xdr:to>
    <xdr:pic>
      <xdr:nvPicPr>
        <xdr:cNvPr id="2" name="Graphic 1" descr="Schoolhouse with solid fill">
          <a:extLst>
            <a:ext uri="{FF2B5EF4-FFF2-40B4-BE49-F238E27FC236}">
              <a16:creationId xmlns:a16="http://schemas.microsoft.com/office/drawing/2014/main" id="{36E46408-8B37-4013-ABD4-C0BFD6CCC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" y="350520"/>
          <a:ext cx="510540" cy="57912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60960</xdr:rowOff>
    </xdr:from>
    <xdr:to>
      <xdr:col>1</xdr:col>
      <xdr:colOff>1181100</xdr:colOff>
      <xdr:row>9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8755CBF-9F0D-430C-A74D-91C7A17D69AE}"/>
            </a:ext>
          </a:extLst>
        </xdr:cNvPr>
        <xdr:cNvSpPr/>
      </xdr:nvSpPr>
      <xdr:spPr>
        <a:xfrm>
          <a:off x="632460" y="975360"/>
          <a:ext cx="1158240" cy="746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n>
                <a:noFill/>
              </a:ln>
              <a:solidFill>
                <a:schemeClr val="tx1"/>
              </a:solidFill>
            </a:rPr>
            <a:t>Inventory</a:t>
          </a:r>
          <a:r>
            <a:rPr lang="en-IN" sz="1400" b="1" baseline="0">
              <a:ln>
                <a:noFill/>
              </a:ln>
              <a:solidFill>
                <a:schemeClr val="tx1"/>
              </a:solidFill>
            </a:rPr>
            <a:t> Management System</a:t>
          </a:r>
          <a:endParaRPr lang="en-IN" sz="14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594159</xdr:colOff>
      <xdr:row>21</xdr:row>
      <xdr:rowOff>83820</xdr:rowOff>
    </xdr:from>
    <xdr:to>
      <xdr:col>1</xdr:col>
      <xdr:colOff>1165759</xdr:colOff>
      <xdr:row>22</xdr:row>
      <xdr:rowOff>99060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FE130A-58AE-44D6-84CB-9C92E4DAB3E3}"/>
            </a:ext>
          </a:extLst>
        </xdr:cNvPr>
        <xdr:cNvSpPr/>
      </xdr:nvSpPr>
      <xdr:spPr>
        <a:xfrm>
          <a:off x="594159" y="3924300"/>
          <a:ext cx="1181200" cy="1981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Inventory</a:t>
          </a:r>
        </a:p>
      </xdr:txBody>
    </xdr:sp>
    <xdr:clientData/>
  </xdr:twoCellAnchor>
  <xdr:twoCellAnchor>
    <xdr:from>
      <xdr:col>0</xdr:col>
      <xdr:colOff>586539</xdr:colOff>
      <xdr:row>12</xdr:row>
      <xdr:rowOff>0</xdr:rowOff>
    </xdr:from>
    <xdr:to>
      <xdr:col>1</xdr:col>
      <xdr:colOff>1150419</xdr:colOff>
      <xdr:row>13</xdr:row>
      <xdr:rowOff>152400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0DD8F26-5A38-430F-9AEF-67CFDD768B3B}"/>
            </a:ext>
          </a:extLst>
        </xdr:cNvPr>
        <xdr:cNvSpPr/>
      </xdr:nvSpPr>
      <xdr:spPr>
        <a:xfrm>
          <a:off x="586539" y="2194560"/>
          <a:ext cx="117348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594159</xdr:colOff>
      <xdr:row>13</xdr:row>
      <xdr:rowOff>82731</xdr:rowOff>
    </xdr:from>
    <xdr:to>
      <xdr:col>1</xdr:col>
      <xdr:colOff>1158039</xdr:colOff>
      <xdr:row>14</xdr:row>
      <xdr:rowOff>141514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E43176-99A4-4FD9-B7EF-ED724AF068C3}"/>
            </a:ext>
          </a:extLst>
        </xdr:cNvPr>
        <xdr:cNvSpPr/>
      </xdr:nvSpPr>
      <xdr:spPr>
        <a:xfrm>
          <a:off x="594159" y="2460171"/>
          <a:ext cx="1173480" cy="24166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Customers</a:t>
          </a:r>
        </a:p>
      </xdr:txBody>
    </xdr:sp>
    <xdr:clientData/>
  </xdr:twoCellAnchor>
  <xdr:twoCellAnchor>
    <xdr:from>
      <xdr:col>0</xdr:col>
      <xdr:colOff>594159</xdr:colOff>
      <xdr:row>17</xdr:row>
      <xdr:rowOff>104502</xdr:rowOff>
    </xdr:from>
    <xdr:to>
      <xdr:col>1</xdr:col>
      <xdr:colOff>1173480</xdr:colOff>
      <xdr:row>18</xdr:row>
      <xdr:rowOff>126274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B93A764-0588-4902-B9F8-1E855EB0B15F}"/>
            </a:ext>
          </a:extLst>
        </xdr:cNvPr>
        <xdr:cNvSpPr/>
      </xdr:nvSpPr>
      <xdr:spPr>
        <a:xfrm>
          <a:off x="594159" y="3213462"/>
          <a:ext cx="1188921" cy="20465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New</a:t>
          </a:r>
          <a:r>
            <a:rPr lang="en-IN" sz="1100" baseline="0">
              <a:ln>
                <a:noFill/>
              </a:ln>
            </a:rPr>
            <a:t> Entry</a:t>
          </a:r>
          <a:endParaRPr lang="en-IN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594159</xdr:colOff>
      <xdr:row>20</xdr:row>
      <xdr:rowOff>52251</xdr:rowOff>
    </xdr:from>
    <xdr:to>
      <xdr:col>1</xdr:col>
      <xdr:colOff>1158039</xdr:colOff>
      <xdr:row>21</xdr:row>
      <xdr:rowOff>46809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5DCC61-90AD-4847-869F-2A6C3982E5D0}"/>
            </a:ext>
          </a:extLst>
        </xdr:cNvPr>
        <xdr:cNvSpPr/>
      </xdr:nvSpPr>
      <xdr:spPr>
        <a:xfrm>
          <a:off x="594159" y="3709851"/>
          <a:ext cx="1173480" cy="177438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0</xdr:col>
      <xdr:colOff>594159</xdr:colOff>
      <xdr:row>14</xdr:row>
      <xdr:rowOff>163285</xdr:rowOff>
    </xdr:from>
    <xdr:to>
      <xdr:col>1</xdr:col>
      <xdr:colOff>1150319</xdr:colOff>
      <xdr:row>16</xdr:row>
      <xdr:rowOff>14151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1E1E43-E0FF-4D40-9174-7E2279EE91E0}"/>
            </a:ext>
          </a:extLst>
        </xdr:cNvPr>
        <xdr:cNvSpPr/>
      </xdr:nvSpPr>
      <xdr:spPr>
        <a:xfrm>
          <a:off x="594159" y="2723605"/>
          <a:ext cx="1165760" cy="2166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Products</a:t>
          </a:r>
        </a:p>
      </xdr:txBody>
    </xdr:sp>
    <xdr:clientData/>
  </xdr:twoCellAnchor>
  <xdr:twoCellAnchor>
    <xdr:from>
      <xdr:col>0</xdr:col>
      <xdr:colOff>594159</xdr:colOff>
      <xdr:row>16</xdr:row>
      <xdr:rowOff>51162</xdr:rowOff>
    </xdr:from>
    <xdr:to>
      <xdr:col>1</xdr:col>
      <xdr:colOff>1173480</xdr:colOff>
      <xdr:row>17</xdr:row>
      <xdr:rowOff>67491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6B27592-21E6-4513-A38E-84CE56EF9E5B}"/>
            </a:ext>
          </a:extLst>
        </xdr:cNvPr>
        <xdr:cNvSpPr/>
      </xdr:nvSpPr>
      <xdr:spPr>
        <a:xfrm>
          <a:off x="594159" y="2977242"/>
          <a:ext cx="1188921" cy="19920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Vendors</a:t>
          </a:r>
        </a:p>
      </xdr:txBody>
    </xdr:sp>
    <xdr:clientData/>
  </xdr:twoCellAnchor>
  <xdr:twoCellAnchor>
    <xdr:from>
      <xdr:col>0</xdr:col>
      <xdr:colOff>594159</xdr:colOff>
      <xdr:row>18</xdr:row>
      <xdr:rowOff>163285</xdr:rowOff>
    </xdr:from>
    <xdr:to>
      <xdr:col>1</xdr:col>
      <xdr:colOff>1165759</xdr:colOff>
      <xdr:row>20</xdr:row>
      <xdr:rowOff>15240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C7A7492-1089-4D74-93AF-932F6B3BD311}"/>
            </a:ext>
          </a:extLst>
        </xdr:cNvPr>
        <xdr:cNvSpPr/>
      </xdr:nvSpPr>
      <xdr:spPr>
        <a:xfrm>
          <a:off x="594159" y="3455125"/>
          <a:ext cx="1181200" cy="21771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n>
                <a:noFill/>
              </a:ln>
              <a:solidFill>
                <a:schemeClr val="tx1"/>
              </a:solidFill>
              <a:latin typeface="+mj-lt"/>
            </a:rPr>
            <a:t>Purchase</a:t>
          </a:r>
        </a:p>
      </xdr:txBody>
    </xdr:sp>
    <xdr:clientData/>
  </xdr:twoCellAnchor>
  <xdr:twoCellAnchor editAs="oneCell">
    <xdr:from>
      <xdr:col>1</xdr:col>
      <xdr:colOff>807720</xdr:colOff>
      <xdr:row>11</xdr:row>
      <xdr:rowOff>160020</xdr:rowOff>
    </xdr:from>
    <xdr:to>
      <xdr:col>1</xdr:col>
      <xdr:colOff>1059180</xdr:colOff>
      <xdr:row>13</xdr:row>
      <xdr:rowOff>45720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8C7CAA57-7187-40EE-8C87-CDC610FA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17320" y="217170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13</xdr:row>
      <xdr:rowOff>114300</xdr:rowOff>
    </xdr:from>
    <xdr:to>
      <xdr:col>1</xdr:col>
      <xdr:colOff>967740</xdr:colOff>
      <xdr:row>14</xdr:row>
      <xdr:rowOff>152400</xdr:rowOff>
    </xdr:to>
    <xdr:pic>
      <xdr:nvPicPr>
        <xdr:cNvPr id="13" name="Graphic 12" descr="Customer review with solid fill">
          <a:extLst>
            <a:ext uri="{FF2B5EF4-FFF2-40B4-BE49-F238E27FC236}">
              <a16:creationId xmlns:a16="http://schemas.microsoft.com/office/drawing/2014/main" id="{05AF9246-AB7A-4927-B6F3-030C9717D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56360" y="24917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15</xdr:row>
      <xdr:rowOff>7620</xdr:rowOff>
    </xdr:from>
    <xdr:to>
      <xdr:col>1</xdr:col>
      <xdr:colOff>990600</xdr:colOff>
      <xdr:row>16</xdr:row>
      <xdr:rowOff>68580</xdr:rowOff>
    </xdr:to>
    <xdr:pic>
      <xdr:nvPicPr>
        <xdr:cNvPr id="14" name="Graphic 13" descr="Computer with solid fill">
          <a:extLst>
            <a:ext uri="{FF2B5EF4-FFF2-40B4-BE49-F238E27FC236}">
              <a16:creationId xmlns:a16="http://schemas.microsoft.com/office/drawing/2014/main" id="{9710E45E-FB84-4A21-A117-06490A2B6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56360" y="2750820"/>
          <a:ext cx="243840" cy="2438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16</xdr:row>
      <xdr:rowOff>76200</xdr:rowOff>
    </xdr:from>
    <xdr:to>
      <xdr:col>1</xdr:col>
      <xdr:colOff>929640</xdr:colOff>
      <xdr:row>17</xdr:row>
      <xdr:rowOff>76200</xdr:rowOff>
    </xdr:to>
    <xdr:pic>
      <xdr:nvPicPr>
        <xdr:cNvPr id="15" name="Graphic 14" descr="Man with solid fill">
          <a:extLst>
            <a:ext uri="{FF2B5EF4-FFF2-40B4-BE49-F238E27FC236}">
              <a16:creationId xmlns:a16="http://schemas.microsoft.com/office/drawing/2014/main" id="{CBC0AA99-2FF8-4E39-8A47-08B3D8D13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356360" y="30022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17</xdr:row>
      <xdr:rowOff>160020</xdr:rowOff>
    </xdr:from>
    <xdr:to>
      <xdr:col>1</xdr:col>
      <xdr:colOff>876300</xdr:colOff>
      <xdr:row>18</xdr:row>
      <xdr:rowOff>106680</xdr:rowOff>
    </xdr:to>
    <xdr:pic>
      <xdr:nvPicPr>
        <xdr:cNvPr id="16" name="Graphic 15" descr="Clipboard with solid fill">
          <a:extLst>
            <a:ext uri="{FF2B5EF4-FFF2-40B4-BE49-F238E27FC236}">
              <a16:creationId xmlns:a16="http://schemas.microsoft.com/office/drawing/2014/main" id="{8759B58E-83B6-46C9-9801-B85FBB72A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356360" y="3268980"/>
          <a:ext cx="129540" cy="1295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18</xdr:row>
      <xdr:rowOff>144780</xdr:rowOff>
    </xdr:from>
    <xdr:to>
      <xdr:col>1</xdr:col>
      <xdr:colOff>998220</xdr:colOff>
      <xdr:row>20</xdr:row>
      <xdr:rowOff>30480</xdr:rowOff>
    </xdr:to>
    <xdr:pic>
      <xdr:nvPicPr>
        <xdr:cNvPr id="17" name="Graphic 16" descr="Daily calendar with solid fill">
          <a:extLst>
            <a:ext uri="{FF2B5EF4-FFF2-40B4-BE49-F238E27FC236}">
              <a16:creationId xmlns:a16="http://schemas.microsoft.com/office/drawing/2014/main" id="{DFCC62A0-BF75-44CD-A7D1-34C7D11DF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356360" y="343662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20</xdr:row>
      <xdr:rowOff>38100</xdr:rowOff>
    </xdr:from>
    <xdr:to>
      <xdr:col>1</xdr:col>
      <xdr:colOff>982980</xdr:colOff>
      <xdr:row>21</xdr:row>
      <xdr:rowOff>91440</xdr:rowOff>
    </xdr:to>
    <xdr:pic>
      <xdr:nvPicPr>
        <xdr:cNvPr id="18" name="Graphic 17" descr="Back with solid fill">
          <a:extLst>
            <a:ext uri="{FF2B5EF4-FFF2-40B4-BE49-F238E27FC236}">
              <a16:creationId xmlns:a16="http://schemas.microsoft.com/office/drawing/2014/main" id="{C00DD37C-5260-434D-BC36-D41EAFEED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356360" y="3695700"/>
          <a:ext cx="23622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21</xdr:row>
      <xdr:rowOff>91440</xdr:rowOff>
    </xdr:from>
    <xdr:to>
      <xdr:col>1</xdr:col>
      <xdr:colOff>998220</xdr:colOff>
      <xdr:row>22</xdr:row>
      <xdr:rowOff>160020</xdr:rowOff>
    </xdr:to>
    <xdr:pic>
      <xdr:nvPicPr>
        <xdr:cNvPr id="19" name="Graphic 18" descr="City with solid fill">
          <a:extLst>
            <a:ext uri="{FF2B5EF4-FFF2-40B4-BE49-F238E27FC236}">
              <a16:creationId xmlns:a16="http://schemas.microsoft.com/office/drawing/2014/main" id="{506D63DA-0B59-4DA9-91C3-8AF3BBF7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356360" y="3931920"/>
          <a:ext cx="251460" cy="251460"/>
        </a:xfrm>
        <a:prstGeom prst="rect">
          <a:avLst/>
        </a:prstGeom>
      </xdr:spPr>
    </xdr:pic>
    <xdr:clientData/>
  </xdr:twoCellAnchor>
  <xdr:twoCellAnchor>
    <xdr:from>
      <xdr:col>2</xdr:col>
      <xdr:colOff>396240</xdr:colOff>
      <xdr:row>1</xdr:row>
      <xdr:rowOff>7620</xdr:rowOff>
    </xdr:from>
    <xdr:to>
      <xdr:col>21</xdr:col>
      <xdr:colOff>91440</xdr:colOff>
      <xdr:row>4</xdr:row>
      <xdr:rowOff>68580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9FFD3C-632E-4DC4-BE05-9888F8707FFA}"/>
            </a:ext>
          </a:extLst>
        </xdr:cNvPr>
        <xdr:cNvSpPr/>
      </xdr:nvSpPr>
      <xdr:spPr>
        <a:xfrm>
          <a:off x="2209800" y="190500"/>
          <a:ext cx="11887200" cy="609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>
              <a:solidFill>
                <a:schemeClr val="tx1"/>
              </a:solidFill>
            </a:rPr>
            <a:t>Purchase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1</xdr:row>
      <xdr:rowOff>167640</xdr:rowOff>
    </xdr:from>
    <xdr:to>
      <xdr:col>1</xdr:col>
      <xdr:colOff>800100</xdr:colOff>
      <xdr:row>5</xdr:row>
      <xdr:rowOff>15240</xdr:rowOff>
    </xdr:to>
    <xdr:pic>
      <xdr:nvPicPr>
        <xdr:cNvPr id="2" name="Graphic 1" descr="Schoolhouse with solid fill">
          <a:extLst>
            <a:ext uri="{FF2B5EF4-FFF2-40B4-BE49-F238E27FC236}">
              <a16:creationId xmlns:a16="http://schemas.microsoft.com/office/drawing/2014/main" id="{2E135712-FDE5-44B3-9D4F-F53FE8CB1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" y="350520"/>
          <a:ext cx="510540" cy="57912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60960</xdr:rowOff>
    </xdr:from>
    <xdr:to>
      <xdr:col>1</xdr:col>
      <xdr:colOff>1181100</xdr:colOff>
      <xdr:row>9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1898AC1-C46E-40FC-85AD-E804AEC7C6BD}"/>
            </a:ext>
          </a:extLst>
        </xdr:cNvPr>
        <xdr:cNvSpPr/>
      </xdr:nvSpPr>
      <xdr:spPr>
        <a:xfrm>
          <a:off x="632460" y="975360"/>
          <a:ext cx="1158240" cy="746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n>
                <a:noFill/>
              </a:ln>
              <a:solidFill>
                <a:schemeClr val="tx1"/>
              </a:solidFill>
            </a:rPr>
            <a:t>Inventory</a:t>
          </a:r>
          <a:r>
            <a:rPr lang="en-IN" sz="1400" b="1" baseline="0">
              <a:ln>
                <a:noFill/>
              </a:ln>
              <a:solidFill>
                <a:schemeClr val="tx1"/>
              </a:solidFill>
            </a:rPr>
            <a:t> Management System</a:t>
          </a:r>
          <a:endParaRPr lang="en-IN" sz="14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594159</xdr:colOff>
      <xdr:row>21</xdr:row>
      <xdr:rowOff>83820</xdr:rowOff>
    </xdr:from>
    <xdr:to>
      <xdr:col>1</xdr:col>
      <xdr:colOff>1165759</xdr:colOff>
      <xdr:row>22</xdr:row>
      <xdr:rowOff>99060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C202EF-1114-4A7A-B748-A78D792BEC0A}"/>
            </a:ext>
          </a:extLst>
        </xdr:cNvPr>
        <xdr:cNvSpPr/>
      </xdr:nvSpPr>
      <xdr:spPr>
        <a:xfrm>
          <a:off x="594159" y="3924300"/>
          <a:ext cx="1181200" cy="1981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Inventory</a:t>
          </a:r>
        </a:p>
      </xdr:txBody>
    </xdr:sp>
    <xdr:clientData/>
  </xdr:twoCellAnchor>
  <xdr:twoCellAnchor>
    <xdr:from>
      <xdr:col>0</xdr:col>
      <xdr:colOff>586539</xdr:colOff>
      <xdr:row>12</xdr:row>
      <xdr:rowOff>0</xdr:rowOff>
    </xdr:from>
    <xdr:to>
      <xdr:col>1</xdr:col>
      <xdr:colOff>1150419</xdr:colOff>
      <xdr:row>13</xdr:row>
      <xdr:rowOff>152400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99862F2-3BE1-4214-AE9A-5C744334B6F0}"/>
            </a:ext>
          </a:extLst>
        </xdr:cNvPr>
        <xdr:cNvSpPr/>
      </xdr:nvSpPr>
      <xdr:spPr>
        <a:xfrm>
          <a:off x="586539" y="2194560"/>
          <a:ext cx="117348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594159</xdr:colOff>
      <xdr:row>13</xdr:row>
      <xdr:rowOff>82731</xdr:rowOff>
    </xdr:from>
    <xdr:to>
      <xdr:col>1</xdr:col>
      <xdr:colOff>1158039</xdr:colOff>
      <xdr:row>14</xdr:row>
      <xdr:rowOff>141514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C8C09C-94B3-430E-8309-DF0DD28ED803}"/>
            </a:ext>
          </a:extLst>
        </xdr:cNvPr>
        <xdr:cNvSpPr/>
      </xdr:nvSpPr>
      <xdr:spPr>
        <a:xfrm>
          <a:off x="594159" y="2460171"/>
          <a:ext cx="1173480" cy="24166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Customers</a:t>
          </a:r>
        </a:p>
      </xdr:txBody>
    </xdr:sp>
    <xdr:clientData/>
  </xdr:twoCellAnchor>
  <xdr:twoCellAnchor>
    <xdr:from>
      <xdr:col>0</xdr:col>
      <xdr:colOff>594159</xdr:colOff>
      <xdr:row>17</xdr:row>
      <xdr:rowOff>104502</xdr:rowOff>
    </xdr:from>
    <xdr:to>
      <xdr:col>1</xdr:col>
      <xdr:colOff>1173480</xdr:colOff>
      <xdr:row>18</xdr:row>
      <xdr:rowOff>126274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26E0D24-EB00-4634-8A4B-4709DB0EEEAD}"/>
            </a:ext>
          </a:extLst>
        </xdr:cNvPr>
        <xdr:cNvSpPr/>
      </xdr:nvSpPr>
      <xdr:spPr>
        <a:xfrm>
          <a:off x="594159" y="3213462"/>
          <a:ext cx="1188921" cy="20465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New</a:t>
          </a:r>
          <a:r>
            <a:rPr lang="en-IN" sz="1100" baseline="0">
              <a:ln>
                <a:noFill/>
              </a:ln>
            </a:rPr>
            <a:t> Entry</a:t>
          </a:r>
          <a:endParaRPr lang="en-IN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594159</xdr:colOff>
      <xdr:row>20</xdr:row>
      <xdr:rowOff>52251</xdr:rowOff>
    </xdr:from>
    <xdr:to>
      <xdr:col>1</xdr:col>
      <xdr:colOff>1158039</xdr:colOff>
      <xdr:row>21</xdr:row>
      <xdr:rowOff>46809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A3408B5-78BE-4339-8201-7578BCB36053}"/>
            </a:ext>
          </a:extLst>
        </xdr:cNvPr>
        <xdr:cNvSpPr/>
      </xdr:nvSpPr>
      <xdr:spPr>
        <a:xfrm>
          <a:off x="594159" y="3709851"/>
          <a:ext cx="1173480" cy="177438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0</xdr:col>
      <xdr:colOff>594159</xdr:colOff>
      <xdr:row>14</xdr:row>
      <xdr:rowOff>163285</xdr:rowOff>
    </xdr:from>
    <xdr:to>
      <xdr:col>1</xdr:col>
      <xdr:colOff>1150319</xdr:colOff>
      <xdr:row>16</xdr:row>
      <xdr:rowOff>14151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FFC9999-FFD8-4E6D-B61A-7BB986633B17}"/>
            </a:ext>
          </a:extLst>
        </xdr:cNvPr>
        <xdr:cNvSpPr/>
      </xdr:nvSpPr>
      <xdr:spPr>
        <a:xfrm>
          <a:off x="594159" y="2723605"/>
          <a:ext cx="1165760" cy="2166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Products</a:t>
          </a:r>
        </a:p>
      </xdr:txBody>
    </xdr:sp>
    <xdr:clientData/>
  </xdr:twoCellAnchor>
  <xdr:twoCellAnchor>
    <xdr:from>
      <xdr:col>0</xdr:col>
      <xdr:colOff>594159</xdr:colOff>
      <xdr:row>16</xdr:row>
      <xdr:rowOff>51162</xdr:rowOff>
    </xdr:from>
    <xdr:to>
      <xdr:col>1</xdr:col>
      <xdr:colOff>1173480</xdr:colOff>
      <xdr:row>17</xdr:row>
      <xdr:rowOff>67491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3C6BC54-7CE2-436B-B942-D8166D582F95}"/>
            </a:ext>
          </a:extLst>
        </xdr:cNvPr>
        <xdr:cNvSpPr/>
      </xdr:nvSpPr>
      <xdr:spPr>
        <a:xfrm>
          <a:off x="594159" y="2977242"/>
          <a:ext cx="1188921" cy="19920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Vendors</a:t>
          </a:r>
        </a:p>
      </xdr:txBody>
    </xdr:sp>
    <xdr:clientData/>
  </xdr:twoCellAnchor>
  <xdr:twoCellAnchor>
    <xdr:from>
      <xdr:col>0</xdr:col>
      <xdr:colOff>594159</xdr:colOff>
      <xdr:row>18</xdr:row>
      <xdr:rowOff>163285</xdr:rowOff>
    </xdr:from>
    <xdr:to>
      <xdr:col>1</xdr:col>
      <xdr:colOff>1165759</xdr:colOff>
      <xdr:row>20</xdr:row>
      <xdr:rowOff>15240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A9735B2-5356-4D90-9D2C-E30D147F413C}"/>
            </a:ext>
          </a:extLst>
        </xdr:cNvPr>
        <xdr:cNvSpPr/>
      </xdr:nvSpPr>
      <xdr:spPr>
        <a:xfrm>
          <a:off x="594159" y="3455125"/>
          <a:ext cx="1181200" cy="21771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latin typeface="+mj-lt"/>
            </a:rPr>
            <a:t>Purchase</a:t>
          </a:r>
        </a:p>
      </xdr:txBody>
    </xdr:sp>
    <xdr:clientData/>
  </xdr:twoCellAnchor>
  <xdr:twoCellAnchor editAs="oneCell">
    <xdr:from>
      <xdr:col>1</xdr:col>
      <xdr:colOff>807720</xdr:colOff>
      <xdr:row>11</xdr:row>
      <xdr:rowOff>160020</xdr:rowOff>
    </xdr:from>
    <xdr:to>
      <xdr:col>1</xdr:col>
      <xdr:colOff>1059180</xdr:colOff>
      <xdr:row>13</xdr:row>
      <xdr:rowOff>45720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8979FBC3-801F-4E7F-A5FF-C5A4E921E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17320" y="217170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13</xdr:row>
      <xdr:rowOff>114300</xdr:rowOff>
    </xdr:from>
    <xdr:to>
      <xdr:col>1</xdr:col>
      <xdr:colOff>967740</xdr:colOff>
      <xdr:row>14</xdr:row>
      <xdr:rowOff>152400</xdr:rowOff>
    </xdr:to>
    <xdr:pic>
      <xdr:nvPicPr>
        <xdr:cNvPr id="13" name="Graphic 12" descr="Customer review with solid fill">
          <a:extLst>
            <a:ext uri="{FF2B5EF4-FFF2-40B4-BE49-F238E27FC236}">
              <a16:creationId xmlns:a16="http://schemas.microsoft.com/office/drawing/2014/main" id="{CA6E5F10-D4B4-47E6-A66B-3DE5DEB62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56360" y="24917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15</xdr:row>
      <xdr:rowOff>7620</xdr:rowOff>
    </xdr:from>
    <xdr:to>
      <xdr:col>1</xdr:col>
      <xdr:colOff>990600</xdr:colOff>
      <xdr:row>16</xdr:row>
      <xdr:rowOff>68580</xdr:rowOff>
    </xdr:to>
    <xdr:pic>
      <xdr:nvPicPr>
        <xdr:cNvPr id="14" name="Graphic 13" descr="Computer with solid fill">
          <a:extLst>
            <a:ext uri="{FF2B5EF4-FFF2-40B4-BE49-F238E27FC236}">
              <a16:creationId xmlns:a16="http://schemas.microsoft.com/office/drawing/2014/main" id="{57884A47-1477-4313-821E-EFAD8BB25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56360" y="2750820"/>
          <a:ext cx="243840" cy="2438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16</xdr:row>
      <xdr:rowOff>76200</xdr:rowOff>
    </xdr:from>
    <xdr:to>
      <xdr:col>1</xdr:col>
      <xdr:colOff>929640</xdr:colOff>
      <xdr:row>17</xdr:row>
      <xdr:rowOff>76200</xdr:rowOff>
    </xdr:to>
    <xdr:pic>
      <xdr:nvPicPr>
        <xdr:cNvPr id="15" name="Graphic 14" descr="Man with solid fill">
          <a:extLst>
            <a:ext uri="{FF2B5EF4-FFF2-40B4-BE49-F238E27FC236}">
              <a16:creationId xmlns:a16="http://schemas.microsoft.com/office/drawing/2014/main" id="{8EC23D81-269E-4577-BE2A-FE84BF541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356360" y="30022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17</xdr:row>
      <xdr:rowOff>160020</xdr:rowOff>
    </xdr:from>
    <xdr:to>
      <xdr:col>1</xdr:col>
      <xdr:colOff>876300</xdr:colOff>
      <xdr:row>18</xdr:row>
      <xdr:rowOff>106680</xdr:rowOff>
    </xdr:to>
    <xdr:pic>
      <xdr:nvPicPr>
        <xdr:cNvPr id="16" name="Graphic 15" descr="Clipboard with solid fill">
          <a:extLst>
            <a:ext uri="{FF2B5EF4-FFF2-40B4-BE49-F238E27FC236}">
              <a16:creationId xmlns:a16="http://schemas.microsoft.com/office/drawing/2014/main" id="{E53C1C52-970F-4719-8C37-9F3E1378D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356360" y="3268980"/>
          <a:ext cx="129540" cy="1295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18</xdr:row>
      <xdr:rowOff>144780</xdr:rowOff>
    </xdr:from>
    <xdr:to>
      <xdr:col>1</xdr:col>
      <xdr:colOff>998220</xdr:colOff>
      <xdr:row>20</xdr:row>
      <xdr:rowOff>30480</xdr:rowOff>
    </xdr:to>
    <xdr:pic>
      <xdr:nvPicPr>
        <xdr:cNvPr id="17" name="Graphic 16" descr="Daily calendar with solid fill">
          <a:extLst>
            <a:ext uri="{FF2B5EF4-FFF2-40B4-BE49-F238E27FC236}">
              <a16:creationId xmlns:a16="http://schemas.microsoft.com/office/drawing/2014/main" id="{7A7FF24E-597B-4816-B4C9-CBBC009FE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356360" y="343662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20</xdr:row>
      <xdr:rowOff>38100</xdr:rowOff>
    </xdr:from>
    <xdr:to>
      <xdr:col>1</xdr:col>
      <xdr:colOff>982980</xdr:colOff>
      <xdr:row>21</xdr:row>
      <xdr:rowOff>91440</xdr:rowOff>
    </xdr:to>
    <xdr:pic>
      <xdr:nvPicPr>
        <xdr:cNvPr id="18" name="Graphic 17" descr="Back with solid fill">
          <a:extLst>
            <a:ext uri="{FF2B5EF4-FFF2-40B4-BE49-F238E27FC236}">
              <a16:creationId xmlns:a16="http://schemas.microsoft.com/office/drawing/2014/main" id="{0E7DD8FB-D36E-4DBD-9313-4D6CE1F4A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356360" y="3695700"/>
          <a:ext cx="23622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21</xdr:row>
      <xdr:rowOff>91440</xdr:rowOff>
    </xdr:from>
    <xdr:to>
      <xdr:col>1</xdr:col>
      <xdr:colOff>998220</xdr:colOff>
      <xdr:row>22</xdr:row>
      <xdr:rowOff>160020</xdr:rowOff>
    </xdr:to>
    <xdr:pic>
      <xdr:nvPicPr>
        <xdr:cNvPr id="19" name="Graphic 18" descr="City with solid fill">
          <a:extLst>
            <a:ext uri="{FF2B5EF4-FFF2-40B4-BE49-F238E27FC236}">
              <a16:creationId xmlns:a16="http://schemas.microsoft.com/office/drawing/2014/main" id="{E3083EB9-3D0C-4F6B-A6B8-B3DCD48BF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356360" y="3931920"/>
          <a:ext cx="251460" cy="251460"/>
        </a:xfrm>
        <a:prstGeom prst="rect">
          <a:avLst/>
        </a:prstGeom>
      </xdr:spPr>
    </xdr:pic>
    <xdr:clientData/>
  </xdr:twoCellAnchor>
  <xdr:twoCellAnchor>
    <xdr:from>
      <xdr:col>2</xdr:col>
      <xdr:colOff>396240</xdr:colOff>
      <xdr:row>1</xdr:row>
      <xdr:rowOff>7620</xdr:rowOff>
    </xdr:from>
    <xdr:to>
      <xdr:col>22</xdr:col>
      <xdr:colOff>91440</xdr:colOff>
      <xdr:row>4</xdr:row>
      <xdr:rowOff>68580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8622709-BA74-431A-B869-BC06CC6CC6C7}"/>
            </a:ext>
          </a:extLst>
        </xdr:cNvPr>
        <xdr:cNvSpPr/>
      </xdr:nvSpPr>
      <xdr:spPr>
        <a:xfrm>
          <a:off x="2209800" y="190500"/>
          <a:ext cx="11887200" cy="609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>
              <a:solidFill>
                <a:schemeClr val="tx1"/>
              </a:solidFill>
            </a:rPr>
            <a:t>Sales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1</xdr:row>
      <xdr:rowOff>167640</xdr:rowOff>
    </xdr:from>
    <xdr:to>
      <xdr:col>1</xdr:col>
      <xdr:colOff>800100</xdr:colOff>
      <xdr:row>5</xdr:row>
      <xdr:rowOff>15240</xdr:rowOff>
    </xdr:to>
    <xdr:pic>
      <xdr:nvPicPr>
        <xdr:cNvPr id="2" name="Graphic 1" descr="Schoolhouse with solid fill">
          <a:extLst>
            <a:ext uri="{FF2B5EF4-FFF2-40B4-BE49-F238E27FC236}">
              <a16:creationId xmlns:a16="http://schemas.microsoft.com/office/drawing/2014/main" id="{88513FCF-1E92-4675-A2C8-B68A5D615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9160" y="350520"/>
          <a:ext cx="510540" cy="579120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60960</xdr:rowOff>
    </xdr:from>
    <xdr:to>
      <xdr:col>1</xdr:col>
      <xdr:colOff>1181100</xdr:colOff>
      <xdr:row>9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511C05-D467-4957-B594-027132532D65}"/>
            </a:ext>
          </a:extLst>
        </xdr:cNvPr>
        <xdr:cNvSpPr/>
      </xdr:nvSpPr>
      <xdr:spPr>
        <a:xfrm>
          <a:off x="632460" y="975360"/>
          <a:ext cx="1158240" cy="746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n>
                <a:noFill/>
              </a:ln>
              <a:solidFill>
                <a:schemeClr val="tx1"/>
              </a:solidFill>
            </a:rPr>
            <a:t>Inventory</a:t>
          </a:r>
          <a:r>
            <a:rPr lang="en-IN" sz="1400" b="1" baseline="0">
              <a:ln>
                <a:noFill/>
              </a:ln>
              <a:solidFill>
                <a:schemeClr val="tx1"/>
              </a:solidFill>
            </a:rPr>
            <a:t> Management System</a:t>
          </a:r>
          <a:endParaRPr lang="en-IN" sz="14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594159</xdr:colOff>
      <xdr:row>21</xdr:row>
      <xdr:rowOff>83820</xdr:rowOff>
    </xdr:from>
    <xdr:to>
      <xdr:col>1</xdr:col>
      <xdr:colOff>1165759</xdr:colOff>
      <xdr:row>22</xdr:row>
      <xdr:rowOff>99060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92C290-91FD-4DF6-8A5A-B464E431A8D9}"/>
            </a:ext>
          </a:extLst>
        </xdr:cNvPr>
        <xdr:cNvSpPr/>
      </xdr:nvSpPr>
      <xdr:spPr>
        <a:xfrm>
          <a:off x="594159" y="3924300"/>
          <a:ext cx="1181200" cy="1981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n>
                <a:noFill/>
              </a:ln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>
    <xdr:from>
      <xdr:col>0</xdr:col>
      <xdr:colOff>586539</xdr:colOff>
      <xdr:row>12</xdr:row>
      <xdr:rowOff>0</xdr:rowOff>
    </xdr:from>
    <xdr:to>
      <xdr:col>1</xdr:col>
      <xdr:colOff>1150419</xdr:colOff>
      <xdr:row>13</xdr:row>
      <xdr:rowOff>152400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8CBBDEF-D191-4B56-85B6-EC296E7BBB2A}"/>
            </a:ext>
          </a:extLst>
        </xdr:cNvPr>
        <xdr:cNvSpPr/>
      </xdr:nvSpPr>
      <xdr:spPr>
        <a:xfrm>
          <a:off x="586539" y="2194560"/>
          <a:ext cx="1173480" cy="33528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594159</xdr:colOff>
      <xdr:row>13</xdr:row>
      <xdr:rowOff>82731</xdr:rowOff>
    </xdr:from>
    <xdr:to>
      <xdr:col>1</xdr:col>
      <xdr:colOff>1158039</xdr:colOff>
      <xdr:row>14</xdr:row>
      <xdr:rowOff>141514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07E8EC0-00A1-4A7B-A139-5B94D531B87A}"/>
            </a:ext>
          </a:extLst>
        </xdr:cNvPr>
        <xdr:cNvSpPr/>
      </xdr:nvSpPr>
      <xdr:spPr>
        <a:xfrm>
          <a:off x="594159" y="2460171"/>
          <a:ext cx="1173480" cy="241663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Customers</a:t>
          </a:r>
        </a:p>
      </xdr:txBody>
    </xdr:sp>
    <xdr:clientData/>
  </xdr:twoCellAnchor>
  <xdr:twoCellAnchor>
    <xdr:from>
      <xdr:col>0</xdr:col>
      <xdr:colOff>594159</xdr:colOff>
      <xdr:row>17</xdr:row>
      <xdr:rowOff>104502</xdr:rowOff>
    </xdr:from>
    <xdr:to>
      <xdr:col>1</xdr:col>
      <xdr:colOff>1173480</xdr:colOff>
      <xdr:row>18</xdr:row>
      <xdr:rowOff>126274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AAF0398-A4A3-4CEF-92BA-CF5A00153CA4}"/>
            </a:ext>
          </a:extLst>
        </xdr:cNvPr>
        <xdr:cNvSpPr/>
      </xdr:nvSpPr>
      <xdr:spPr>
        <a:xfrm>
          <a:off x="594159" y="3213462"/>
          <a:ext cx="1188921" cy="20465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New</a:t>
          </a:r>
          <a:r>
            <a:rPr lang="en-IN" sz="1100" baseline="0">
              <a:ln>
                <a:noFill/>
              </a:ln>
            </a:rPr>
            <a:t> Entry</a:t>
          </a:r>
          <a:endParaRPr lang="en-IN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594159</xdr:colOff>
      <xdr:row>20</xdr:row>
      <xdr:rowOff>52251</xdr:rowOff>
    </xdr:from>
    <xdr:to>
      <xdr:col>1</xdr:col>
      <xdr:colOff>1158039</xdr:colOff>
      <xdr:row>21</xdr:row>
      <xdr:rowOff>46809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0506AF-EE94-453E-82D0-84FFB351CF20}"/>
            </a:ext>
          </a:extLst>
        </xdr:cNvPr>
        <xdr:cNvSpPr/>
      </xdr:nvSpPr>
      <xdr:spPr>
        <a:xfrm>
          <a:off x="594159" y="3709851"/>
          <a:ext cx="1173480" cy="177438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0</xdr:col>
      <xdr:colOff>594159</xdr:colOff>
      <xdr:row>14</xdr:row>
      <xdr:rowOff>163285</xdr:rowOff>
    </xdr:from>
    <xdr:to>
      <xdr:col>1</xdr:col>
      <xdr:colOff>1150319</xdr:colOff>
      <xdr:row>16</xdr:row>
      <xdr:rowOff>14151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F381C24-C322-4AD5-8824-ABFB33EED823}"/>
            </a:ext>
          </a:extLst>
        </xdr:cNvPr>
        <xdr:cNvSpPr/>
      </xdr:nvSpPr>
      <xdr:spPr>
        <a:xfrm>
          <a:off x="594159" y="2723605"/>
          <a:ext cx="1165760" cy="2166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Products</a:t>
          </a:r>
        </a:p>
      </xdr:txBody>
    </xdr:sp>
    <xdr:clientData/>
  </xdr:twoCellAnchor>
  <xdr:twoCellAnchor>
    <xdr:from>
      <xdr:col>0</xdr:col>
      <xdr:colOff>594159</xdr:colOff>
      <xdr:row>16</xdr:row>
      <xdr:rowOff>51162</xdr:rowOff>
    </xdr:from>
    <xdr:to>
      <xdr:col>1</xdr:col>
      <xdr:colOff>1173480</xdr:colOff>
      <xdr:row>17</xdr:row>
      <xdr:rowOff>67491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265FFB5-4A97-4F28-9689-804BE1CBF954}"/>
            </a:ext>
          </a:extLst>
        </xdr:cNvPr>
        <xdr:cNvSpPr/>
      </xdr:nvSpPr>
      <xdr:spPr>
        <a:xfrm>
          <a:off x="594159" y="2977242"/>
          <a:ext cx="1188921" cy="19920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</a:rPr>
            <a:t>Vendors</a:t>
          </a:r>
        </a:p>
      </xdr:txBody>
    </xdr:sp>
    <xdr:clientData/>
  </xdr:twoCellAnchor>
  <xdr:twoCellAnchor>
    <xdr:from>
      <xdr:col>0</xdr:col>
      <xdr:colOff>594159</xdr:colOff>
      <xdr:row>18</xdr:row>
      <xdr:rowOff>163285</xdr:rowOff>
    </xdr:from>
    <xdr:to>
      <xdr:col>1</xdr:col>
      <xdr:colOff>1165759</xdr:colOff>
      <xdr:row>20</xdr:row>
      <xdr:rowOff>15240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6B4D51D-A8E9-4E6C-8FF8-8D0BF59C37EF}"/>
            </a:ext>
          </a:extLst>
        </xdr:cNvPr>
        <xdr:cNvSpPr/>
      </xdr:nvSpPr>
      <xdr:spPr>
        <a:xfrm>
          <a:off x="594159" y="3455125"/>
          <a:ext cx="1181200" cy="21771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ln>
                <a:noFill/>
              </a:ln>
              <a:latin typeface="+mj-lt"/>
            </a:rPr>
            <a:t>Purchase</a:t>
          </a:r>
        </a:p>
      </xdr:txBody>
    </xdr:sp>
    <xdr:clientData/>
  </xdr:twoCellAnchor>
  <xdr:twoCellAnchor editAs="oneCell">
    <xdr:from>
      <xdr:col>1</xdr:col>
      <xdr:colOff>807720</xdr:colOff>
      <xdr:row>11</xdr:row>
      <xdr:rowOff>160020</xdr:rowOff>
    </xdr:from>
    <xdr:to>
      <xdr:col>1</xdr:col>
      <xdr:colOff>1059180</xdr:colOff>
      <xdr:row>13</xdr:row>
      <xdr:rowOff>45720</xdr:rowOff>
    </xdr:to>
    <xdr:pic>
      <xdr:nvPicPr>
        <xdr:cNvPr id="12" name="Graphic 11" descr="Gauge with solid fill">
          <a:extLst>
            <a:ext uri="{FF2B5EF4-FFF2-40B4-BE49-F238E27FC236}">
              <a16:creationId xmlns:a16="http://schemas.microsoft.com/office/drawing/2014/main" id="{962B0BBA-B0EB-4487-864D-A7483369B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17320" y="217170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13</xdr:row>
      <xdr:rowOff>114300</xdr:rowOff>
    </xdr:from>
    <xdr:to>
      <xdr:col>1</xdr:col>
      <xdr:colOff>967740</xdr:colOff>
      <xdr:row>14</xdr:row>
      <xdr:rowOff>152400</xdr:rowOff>
    </xdr:to>
    <xdr:pic>
      <xdr:nvPicPr>
        <xdr:cNvPr id="13" name="Graphic 12" descr="Customer review with solid fill">
          <a:extLst>
            <a:ext uri="{FF2B5EF4-FFF2-40B4-BE49-F238E27FC236}">
              <a16:creationId xmlns:a16="http://schemas.microsoft.com/office/drawing/2014/main" id="{1CB6423A-310B-491B-B142-13319B487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56360" y="24917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15</xdr:row>
      <xdr:rowOff>7620</xdr:rowOff>
    </xdr:from>
    <xdr:to>
      <xdr:col>1</xdr:col>
      <xdr:colOff>990600</xdr:colOff>
      <xdr:row>16</xdr:row>
      <xdr:rowOff>68580</xdr:rowOff>
    </xdr:to>
    <xdr:pic>
      <xdr:nvPicPr>
        <xdr:cNvPr id="14" name="Graphic 13" descr="Computer with solid fill">
          <a:extLst>
            <a:ext uri="{FF2B5EF4-FFF2-40B4-BE49-F238E27FC236}">
              <a16:creationId xmlns:a16="http://schemas.microsoft.com/office/drawing/2014/main" id="{6C36BE1C-F5FF-436F-990F-D6985D650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56360" y="2750820"/>
          <a:ext cx="243840" cy="2438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16</xdr:row>
      <xdr:rowOff>76200</xdr:rowOff>
    </xdr:from>
    <xdr:to>
      <xdr:col>1</xdr:col>
      <xdr:colOff>929640</xdr:colOff>
      <xdr:row>17</xdr:row>
      <xdr:rowOff>76200</xdr:rowOff>
    </xdr:to>
    <xdr:pic>
      <xdr:nvPicPr>
        <xdr:cNvPr id="15" name="Graphic 14" descr="Man with solid fill">
          <a:extLst>
            <a:ext uri="{FF2B5EF4-FFF2-40B4-BE49-F238E27FC236}">
              <a16:creationId xmlns:a16="http://schemas.microsoft.com/office/drawing/2014/main" id="{895D2345-D416-4A30-AB07-E81DF8F72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356360" y="30022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17</xdr:row>
      <xdr:rowOff>160020</xdr:rowOff>
    </xdr:from>
    <xdr:to>
      <xdr:col>1</xdr:col>
      <xdr:colOff>876300</xdr:colOff>
      <xdr:row>18</xdr:row>
      <xdr:rowOff>106680</xdr:rowOff>
    </xdr:to>
    <xdr:pic>
      <xdr:nvPicPr>
        <xdr:cNvPr id="16" name="Graphic 15" descr="Clipboard with solid fill">
          <a:extLst>
            <a:ext uri="{FF2B5EF4-FFF2-40B4-BE49-F238E27FC236}">
              <a16:creationId xmlns:a16="http://schemas.microsoft.com/office/drawing/2014/main" id="{5A45E90F-EC4D-4857-8B18-C9FB7026D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356360" y="3268980"/>
          <a:ext cx="129540" cy="12954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18</xdr:row>
      <xdr:rowOff>144780</xdr:rowOff>
    </xdr:from>
    <xdr:to>
      <xdr:col>1</xdr:col>
      <xdr:colOff>998220</xdr:colOff>
      <xdr:row>20</xdr:row>
      <xdr:rowOff>30480</xdr:rowOff>
    </xdr:to>
    <xdr:pic>
      <xdr:nvPicPr>
        <xdr:cNvPr id="17" name="Graphic 16" descr="Daily calendar with solid fill">
          <a:extLst>
            <a:ext uri="{FF2B5EF4-FFF2-40B4-BE49-F238E27FC236}">
              <a16:creationId xmlns:a16="http://schemas.microsoft.com/office/drawing/2014/main" id="{BBFB899B-009A-40C9-808F-C971D1D61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356360" y="3436620"/>
          <a:ext cx="25146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20</xdr:row>
      <xdr:rowOff>38100</xdr:rowOff>
    </xdr:from>
    <xdr:to>
      <xdr:col>1</xdr:col>
      <xdr:colOff>982980</xdr:colOff>
      <xdr:row>21</xdr:row>
      <xdr:rowOff>91440</xdr:rowOff>
    </xdr:to>
    <xdr:pic>
      <xdr:nvPicPr>
        <xdr:cNvPr id="18" name="Graphic 17" descr="Back with solid fill">
          <a:extLst>
            <a:ext uri="{FF2B5EF4-FFF2-40B4-BE49-F238E27FC236}">
              <a16:creationId xmlns:a16="http://schemas.microsoft.com/office/drawing/2014/main" id="{D5871015-C512-4459-9CFB-0F2733044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356360" y="3695700"/>
          <a:ext cx="23622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21</xdr:row>
      <xdr:rowOff>91440</xdr:rowOff>
    </xdr:from>
    <xdr:to>
      <xdr:col>1</xdr:col>
      <xdr:colOff>998220</xdr:colOff>
      <xdr:row>22</xdr:row>
      <xdr:rowOff>160020</xdr:rowOff>
    </xdr:to>
    <xdr:pic>
      <xdr:nvPicPr>
        <xdr:cNvPr id="19" name="Graphic 18" descr="City with solid fill">
          <a:extLst>
            <a:ext uri="{FF2B5EF4-FFF2-40B4-BE49-F238E27FC236}">
              <a16:creationId xmlns:a16="http://schemas.microsoft.com/office/drawing/2014/main" id="{F0D65BF1-0B09-4F7B-9401-2D437E28A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356360" y="3931920"/>
          <a:ext cx="251460" cy="251460"/>
        </a:xfrm>
        <a:prstGeom prst="rect">
          <a:avLst/>
        </a:prstGeom>
      </xdr:spPr>
    </xdr:pic>
    <xdr:clientData/>
  </xdr:twoCellAnchor>
  <xdr:twoCellAnchor>
    <xdr:from>
      <xdr:col>2</xdr:col>
      <xdr:colOff>396240</xdr:colOff>
      <xdr:row>1</xdr:row>
      <xdr:rowOff>7620</xdr:rowOff>
    </xdr:from>
    <xdr:to>
      <xdr:col>22</xdr:col>
      <xdr:colOff>91440</xdr:colOff>
      <xdr:row>4</xdr:row>
      <xdr:rowOff>68580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27B015B-2608-48C6-932E-87F1CA058B75}"/>
            </a:ext>
          </a:extLst>
        </xdr:cNvPr>
        <xdr:cNvSpPr/>
      </xdr:nvSpPr>
      <xdr:spPr>
        <a:xfrm>
          <a:off x="2209800" y="190500"/>
          <a:ext cx="11887200" cy="609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>
              <a:solidFill>
                <a:schemeClr val="tx1"/>
              </a:solidFill>
            </a:rPr>
            <a:t>Inventory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KUMAR RAUT" refreshedDate="45997.720155092589" createdVersion="8" refreshedVersion="8" minRefreshableVersion="3" recordCount="10" xr:uid="{B4175AFB-5AB4-4478-A033-0FFA36798541}">
  <cacheSource type="worksheet">
    <worksheetSource name="Productsdata"/>
  </cacheSource>
  <cacheFields count="4">
    <cacheField name="HSN Code" numFmtId="0">
      <sharedItems/>
    </cacheField>
    <cacheField name="Product Name" numFmtId="0">
      <sharedItems/>
    </cacheField>
    <cacheField name="Cost" numFmtId="0">
      <sharedItems containsSemiMixedTypes="0" containsString="0" containsNumber="1" containsInteger="1" minValue="200" maxValue="52000"/>
    </cacheField>
    <cacheField name="Selling Price" numFmtId="0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KUMAR RAUT" refreshedDate="45997.720155555558" createdVersion="8" refreshedVersion="8" minRefreshableVersion="3" recordCount="13" xr:uid="{41B9AB1A-3BE8-4619-897A-AAD1B6E7C95F}">
  <cacheSource type="worksheet">
    <worksheetSource name="Purchasedata"/>
  </cacheSource>
  <cacheFields count="7">
    <cacheField name="HSN Code" numFmtId="0">
      <sharedItems/>
    </cacheField>
    <cacheField name="Product Name" numFmtId="0">
      <sharedItems/>
    </cacheField>
    <cacheField name="Vendor" numFmtId="0">
      <sharedItems/>
    </cacheField>
    <cacheField name="Date" numFmtId="0">
      <sharedItems containsSemiMixedTypes="0" containsString="0" containsNumber="1" containsInteger="1" minValue="45292" maxValue="45301"/>
    </cacheField>
    <cacheField name="Units" numFmtId="0">
      <sharedItems containsSemiMixedTypes="0" containsString="0" containsNumber="1" containsInteger="1" minValue="2" maxValue="100"/>
    </cacheField>
    <cacheField name="Cost" numFmtId="0">
      <sharedItems containsSemiMixedTypes="0" containsString="0" containsNumber="1" containsInteger="1" minValue="200" maxValue="52000"/>
    </cacheField>
    <cacheField name="Amount" numFmtId="0">
      <sharedItems containsSemiMixedTypes="0" containsString="0" containsNumber="1" containsInteger="1" minValue="4000" maxValue="2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KUMAR RAUT" refreshedDate="45997.720155902774" createdVersion="8" refreshedVersion="8" minRefreshableVersion="3" recordCount="13" xr:uid="{61BFEB7D-F6D3-4986-BE2C-CD7A078A905B}">
  <cacheSource type="worksheet">
    <worksheetSource name="Salesdata"/>
  </cacheSource>
  <cacheFields count="9">
    <cacheField name="Cust_ID" numFmtId="0">
      <sharedItems containsSemiMixedTypes="0" containsString="0" containsNumber="1" containsInteger="1" minValue="100" maxValue="106"/>
    </cacheField>
    <cacheField name="Cust_Name" numFmtId="0">
      <sharedItems count="7">
        <s v="99store"/>
        <s v="Rajesh Kumar"/>
        <s v="Atul Ltd."/>
        <s v="Ram sales"/>
        <s v="MK Tech."/>
        <s v="Amit "/>
        <s v="Jain Tel."/>
      </sharedItems>
    </cacheField>
    <cacheField name="HSN Code" numFmtId="0">
      <sharedItems/>
    </cacheField>
    <cacheField name="Product Name" numFmtId="0">
      <sharedItems/>
    </cacheField>
    <cacheField name="Date" numFmtId="169">
      <sharedItems containsSemiMixedTypes="0" containsNonDate="0" containsDate="1" containsString="0" minDate="2024-01-01T00:00:00" maxDate="2024-01-09T00:00:00"/>
    </cacheField>
    <cacheField name="Stock(Units)" numFmtId="0">
      <sharedItems containsSemiMixedTypes="0" containsString="0" containsNumber="1" containsInteger="1" minValue="3" maxValue="35"/>
    </cacheField>
    <cacheField name="Units" numFmtId="0">
      <sharedItems containsSemiMixedTypes="0" containsString="0" containsNumber="1" containsInteger="1" minValue="4" maxValue="55"/>
    </cacheField>
    <cacheField name="Price" numFmtId="0">
      <sharedItems containsSemiMixedTypes="0" containsString="0" containsNumber="1" minValue="408" maxValue="62400"/>
    </cacheField>
    <cacheField name="Amount" numFmtId="0">
      <sharedItems containsSemiMixedTypes="0" containsString="0" containsNumber="1" minValue="9588" maxValue="138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KUMAR RAUT" refreshedDate="45997.720156481482" createdVersion="8" refreshedVersion="8" minRefreshableVersion="3" recordCount="10" xr:uid="{DAAA3227-159A-4B16-83FB-A8BFA0545E4F}">
  <cacheSource type="worksheet">
    <worksheetSource name="Table9"/>
  </cacheSource>
  <cacheFields count="8">
    <cacheField name="HSN Code" numFmtId="0">
      <sharedItems/>
    </cacheField>
    <cacheField name="Product Name" numFmtId="0">
      <sharedItems count="10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</sharedItems>
    </cacheField>
    <cacheField name="Cost" numFmtId="0">
      <sharedItems containsSemiMixedTypes="0" containsString="0" containsNumber="1" containsInteger="1" minValue="200" maxValue="52000"/>
    </cacheField>
    <cacheField name="P Units" numFmtId="0">
      <sharedItems containsSemiMixedTypes="0" containsString="0" containsNumber="1" containsInteger="1" minValue="2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3" maxValue="35"/>
    </cacheField>
    <cacheField name="Stock  Amt" numFmtId="0">
      <sharedItems containsSemiMixedTypes="0" containsString="0" containsNumber="1" containsInteger="1" minValue="2010" maxValue="735000"/>
    </cacheField>
    <cacheField name="Notifi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KUMAR RAUT" refreshedDate="45997.720157291667" createdVersion="8" refreshedVersion="8" minRefreshableVersion="3" recordCount="7" xr:uid="{92A39AEC-F0D8-4112-B37A-635AA95AF63C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5"/>
    <s v="Mouse"/>
    <s v="GG Traders"/>
    <n v="45292"/>
    <n v="20"/>
    <n v="200"/>
    <n v="4000"/>
  </r>
  <r>
    <s v="N1008"/>
    <s v="Headphones"/>
    <s v="Compac"/>
    <n v="45293"/>
    <n v="10"/>
    <n v="799"/>
    <n v="7990"/>
  </r>
  <r>
    <s v="N1006"/>
    <s v="Rgb Keyboard"/>
    <s v="GG Traders"/>
    <n v="45294"/>
    <n v="50"/>
    <n v="340"/>
    <n v="17000"/>
  </r>
  <r>
    <s v="N1004"/>
    <s v="Desktop"/>
    <s v="GG Traders"/>
    <n v="45295"/>
    <n v="100"/>
    <n v="21000"/>
    <n v="2100000"/>
  </r>
  <r>
    <s v="N1007"/>
    <s v="Camera"/>
    <s v="GG Traders"/>
    <n v="45296"/>
    <n v="20"/>
    <n v="52000"/>
    <n v="1040000"/>
  </r>
  <r>
    <s v="N1001"/>
    <s v="Smart Watch"/>
    <s v="Tech99"/>
    <n v="45297"/>
    <n v="40"/>
    <n v="980"/>
    <n v="39200"/>
  </r>
  <r>
    <s v="N1002"/>
    <s v="Laptop HP xyz i5"/>
    <s v="Tech99"/>
    <n v="45298"/>
    <n v="30"/>
    <n v="34500"/>
    <n v="1035000"/>
  </r>
  <r>
    <s v="N1003"/>
    <s v="Wireless Printer"/>
    <s v="Tech99"/>
    <n v="45299"/>
    <n v="40"/>
    <n v="4600"/>
    <n v="184000"/>
  </r>
  <r>
    <s v="N1009"/>
    <s v="Speakers"/>
    <s v="Compac"/>
    <n v="45300"/>
    <n v="55"/>
    <n v="670"/>
    <n v="36850"/>
  </r>
  <r>
    <s v="N1010"/>
    <s v="Tablets"/>
    <s v="Compac"/>
    <n v="45301"/>
    <n v="40"/>
    <n v="23500"/>
    <n v="940000"/>
  </r>
  <r>
    <s v="N1008"/>
    <s v="Headphones"/>
    <s v="Compac"/>
    <n v="45301"/>
    <n v="35"/>
    <n v="799"/>
    <n v="27965"/>
  </r>
  <r>
    <s v="N1007"/>
    <s v="Camera"/>
    <s v="GG Traders"/>
    <n v="45301"/>
    <n v="2"/>
    <n v="52000"/>
    <n v="104000"/>
  </r>
  <r>
    <s v="N1008"/>
    <s v="Headphones"/>
    <s v="Compac"/>
    <n v="45301"/>
    <n v="10"/>
    <n v="799"/>
    <n v="799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03"/>
    <x v="0"/>
    <s v="N1008"/>
    <s v="Headphones"/>
    <d v="2024-01-01T00:00:00"/>
    <n v="13"/>
    <n v="10"/>
    <n v="958.8"/>
    <n v="9588"/>
  </r>
  <r>
    <n v="104"/>
    <x v="1"/>
    <s v="N1006"/>
    <s v="Rgb Keyboard"/>
    <d v="2024-01-02T00:00:00"/>
    <n v="13"/>
    <n v="37"/>
    <n v="408"/>
    <n v="15096"/>
  </r>
  <r>
    <n v="101"/>
    <x v="2"/>
    <s v="N1004"/>
    <s v="Desktop"/>
    <d v="2024-01-03T00:00:00"/>
    <n v="35"/>
    <n v="10"/>
    <n v="25200"/>
    <n v="252000"/>
  </r>
  <r>
    <n v="100"/>
    <x v="3"/>
    <s v="N1008"/>
    <s v="Headphones"/>
    <d v="2024-01-04T00:00:00"/>
    <n v="13"/>
    <n v="32"/>
    <n v="958.8"/>
    <n v="30681.599999999999"/>
  </r>
  <r>
    <n v="102"/>
    <x v="4"/>
    <s v="N1002"/>
    <s v="Laptop HP xyz i5"/>
    <d v="2024-01-05T00:00:00"/>
    <n v="3"/>
    <n v="27"/>
    <n v="41400"/>
    <n v="1117800"/>
  </r>
  <r>
    <n v="103"/>
    <x v="0"/>
    <s v="N1004"/>
    <s v="Desktop"/>
    <d v="2024-01-06T00:00:00"/>
    <n v="35"/>
    <n v="55"/>
    <n v="25200"/>
    <n v="1386000"/>
  </r>
  <r>
    <n v="105"/>
    <x v="5"/>
    <s v="N1010"/>
    <s v="Tablets"/>
    <d v="2024-01-07T00:00:00"/>
    <n v="3"/>
    <n v="33"/>
    <n v="28200"/>
    <n v="930600"/>
  </r>
  <r>
    <n v="106"/>
    <x v="6"/>
    <s v="N1009"/>
    <s v="Speakers"/>
    <d v="2024-01-08T00:00:00"/>
    <n v="3"/>
    <n v="52"/>
    <n v="804"/>
    <n v="41808"/>
  </r>
  <r>
    <n v="104"/>
    <x v="1"/>
    <s v="N1010"/>
    <s v="Tablets"/>
    <d v="2024-01-08T00:00:00"/>
    <n v="3"/>
    <n v="4"/>
    <n v="28200"/>
    <n v="112800"/>
  </r>
  <r>
    <n v="103"/>
    <x v="0"/>
    <s v="N1001"/>
    <s v="Smart Watch"/>
    <d v="2024-01-08T00:00:00"/>
    <n v="3"/>
    <n v="37"/>
    <n v="1176"/>
    <n v="43512"/>
  </r>
  <r>
    <n v="104"/>
    <x v="1"/>
    <s v="N1007"/>
    <s v="Camera"/>
    <d v="2024-01-08T00:00:00"/>
    <n v="14"/>
    <n v="4"/>
    <n v="62400"/>
    <n v="249600"/>
  </r>
  <r>
    <n v="105"/>
    <x v="5"/>
    <s v="N1007"/>
    <s v="Camera"/>
    <d v="2024-01-08T00:00:00"/>
    <n v="14"/>
    <n v="4"/>
    <n v="62400"/>
    <n v="249600"/>
  </r>
  <r>
    <n v="104"/>
    <x v="1"/>
    <s v="N1003"/>
    <s v="Wireless Printer"/>
    <d v="2024-01-08T00:00:00"/>
    <n v="35"/>
    <n v="5"/>
    <n v="5520"/>
    <n v="276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x v="0"/>
    <n v="980"/>
    <n v="40"/>
    <n v="37"/>
    <n v="3"/>
    <n v="2940"/>
    <s v="📞 Smart Watch Needs to re-order ! PH 9812xxxxxx"/>
  </r>
  <r>
    <s v="N1002"/>
    <x v="1"/>
    <n v="34500"/>
    <n v="30"/>
    <n v="27"/>
    <n v="3"/>
    <n v="103500"/>
    <s v="📞 Laptop HP xyz i5 Needs to re-order ! PH 9812xxxxxx"/>
  </r>
  <r>
    <s v="N1003"/>
    <x v="2"/>
    <n v="4600"/>
    <n v="40"/>
    <n v="5"/>
    <n v="35"/>
    <n v="161000"/>
    <m/>
  </r>
  <r>
    <s v="N1004"/>
    <x v="3"/>
    <n v="21000"/>
    <n v="100"/>
    <n v="65"/>
    <n v="35"/>
    <n v="735000"/>
    <s v=""/>
  </r>
  <r>
    <s v="N1005"/>
    <x v="4"/>
    <n v="200"/>
    <n v="20"/>
    <n v="0"/>
    <n v="20"/>
    <n v="4000"/>
    <s v=""/>
  </r>
  <r>
    <s v="N1006"/>
    <x v="5"/>
    <n v="340"/>
    <n v="50"/>
    <n v="37"/>
    <n v="13"/>
    <n v="4420"/>
    <s v=""/>
  </r>
  <r>
    <s v="N1007"/>
    <x v="6"/>
    <n v="52000"/>
    <n v="22"/>
    <n v="8"/>
    <n v="14"/>
    <n v="728000"/>
    <s v=""/>
  </r>
  <r>
    <s v="N1008"/>
    <x v="7"/>
    <n v="799"/>
    <n v="55"/>
    <n v="42"/>
    <n v="13"/>
    <n v="10387"/>
    <s v=""/>
  </r>
  <r>
    <s v="N1009"/>
    <x v="8"/>
    <n v="670"/>
    <n v="55"/>
    <n v="52"/>
    <n v="3"/>
    <n v="2010"/>
    <s v="📞 Speakers Needs to re-order ! PH 9814xxxxxx"/>
  </r>
  <r>
    <s v="N1010"/>
    <x v="9"/>
    <n v="23500"/>
    <n v="40"/>
    <n v="37"/>
    <n v="3"/>
    <n v="70500"/>
    <s v="📞 Tablets Needs to re-order ! PH 9814xxxxxx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om"/>
    <s v="Delhi, India"/>
  </r>
  <r>
    <n v="101"/>
    <s v="Atul Ltd."/>
    <s v="Atu@gmail.com"/>
    <s v="121102, Palwal, 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 "/>
    <s v="Ami@gmail.com"/>
    <s v="Gurgaon, Sec-15"/>
  </r>
  <r>
    <n v="106"/>
    <s v="Jain Tel."/>
    <s v="Jai@gmail.com"/>
    <s v="Janpath, New Delh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9E330-ADF4-4854-ABE6-ED46ABB45021}" name="PivotTable8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2:B33" firstHeaderRow="1" firstDataRow="1" firstDataCol="1"/>
  <pivotFields count="8">
    <pivotField showAll="0"/>
    <pivotField axis="axisRow" showAll="0">
      <items count="11">
        <item x="6"/>
        <item x="3"/>
        <item x="7"/>
        <item x="1"/>
        <item x="4"/>
        <item x="5"/>
        <item x="0"/>
        <item x="8"/>
        <item x="9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27B97-B1E1-4A8B-96D3-C4E7F8DCFFAC}" name="PivotTable7" cacheId="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3:F19" firstHeaderRow="1" firstDataRow="1" firstDataCol="1"/>
  <pivotFields count="9">
    <pivotField showAll="0"/>
    <pivotField axis="axisRow" showAll="0" measureFilter="1" sortType="descending">
      <items count="8">
        <item x="0"/>
        <item x="5"/>
        <item x="2"/>
        <item x="6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9"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4"/>
    </i>
    <i>
      <x v="5"/>
    </i>
    <i>
      <x v="2"/>
    </i>
    <i t="grand">
      <x/>
    </i>
  </rowItems>
  <colItems count="1">
    <i/>
  </colItems>
  <dataFields count="1">
    <dataField name="Sum of Amount" fld="8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841DB-9544-4BAD-BA23-9D1A4F1D9E4F}" name="PivotTable6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3:F10" firstHeaderRow="1" firstDataRow="1" firstDataCol="1"/>
  <pivotFields count="8">
    <pivotField showAll="0"/>
    <pivotField axis="axisRow" showAll="0" measureFilter="1" sortType="descending">
      <items count="11">
        <item x="6"/>
        <item x="3"/>
        <item x="7"/>
        <item x="1"/>
        <item x="4"/>
        <item x="5"/>
        <item x="0"/>
        <item x="8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 v="1"/>
    </i>
    <i>
      <x v="7"/>
    </i>
    <i>
      <x v="2"/>
    </i>
    <i>
      <x v="6"/>
    </i>
    <i>
      <x v="8"/>
    </i>
    <i>
      <x v="5"/>
    </i>
    <i t="grand">
      <x/>
    </i>
  </rowItems>
  <colItems count="1">
    <i/>
  </colItems>
  <dataFields count="1">
    <dataField name="Sum of S Units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4D979-B6B6-403F-86D8-113362C0D040}" name="PivotTable5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tock  Am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164DD-435F-401F-BD4A-F69886309AC4}" name="PivotTable4" cacheId="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9">
    <pivotField showAll="0"/>
    <pivotField showAll="0"/>
    <pivotField showAll="0"/>
    <pivotField showAll="0"/>
    <pivotField numFmtId="169"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DB62C-96D1-40FA-B593-B6B80474FA10}" name="PivotTable3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CC1B1-DC66-47C8-A8FF-EF65E293B6CF}" name="PivotTable2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C1F51-7025-429D-BE55-CFFF6DB062D4}" name="PivotTable1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B9C48-6DFE-4E35-ACF5-11C6D354CCC2}" name="Customersdata" displayName="Customersdata" ref="D7:G14" totalsRowShown="0" headerRowDxfId="43" dataDxfId="44">
  <autoFilter ref="D7:G14" xr:uid="{240B9C48-6DFE-4E35-ACF5-11C6D354CCC2}"/>
  <tableColumns count="4">
    <tableColumn id="1" xr3:uid="{3E005CEC-7BA1-4FF9-A03C-88EF5C131422}" name="Cust_ID" dataDxfId="48"/>
    <tableColumn id="2" xr3:uid="{1312BC16-FD9C-4330-A840-8EFF56FA416A}" name="Name" dataDxfId="47"/>
    <tableColumn id="3" xr3:uid="{8145821A-B176-48BD-8427-3D92F5B5740D}" name="Email" dataDxfId="46"/>
    <tableColumn id="4" xr3:uid="{31AC6B8E-BD44-4FEB-92B3-448947FE9BB3}" name="Address" dataDxfId="4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134C23-6B8A-40BA-945F-875727951AA2}" name="Productsdata" displayName="Productsdata" ref="D6:G16" totalsRowShown="0" headerRowDxfId="37" dataDxfId="38">
  <autoFilter ref="D6:G16" xr:uid="{A4134C23-6B8A-40BA-945F-875727951AA2}"/>
  <tableColumns count="4">
    <tableColumn id="1" xr3:uid="{38151ED2-BBCE-4EFC-9D97-4D0E8C814274}" name="HSN Code" dataDxfId="42"/>
    <tableColumn id="2" xr3:uid="{813F15AC-8F4C-4BC4-9098-B6AEBDB22981}" name="Product Name" dataDxfId="41"/>
    <tableColumn id="3" xr3:uid="{6FC94251-7954-4F81-98E2-EFFE79984877}" name="Cost" dataDxfId="40"/>
    <tableColumn id="4" xr3:uid="{3B8AA9CA-45E4-4035-8922-116BAD8906E2}" name="Selling Price" dataDxfId="3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844A54-2B4D-45E1-97B5-F9A022A5D4D0}" name="Vendorsdata" displayName="Vendorsdata" ref="D6:H16" totalsRowShown="0" headerRowDxfId="30" dataDxfId="31">
  <autoFilter ref="D6:H16" xr:uid="{22844A54-2B4D-45E1-97B5-F9A022A5D4D0}"/>
  <tableColumns count="5">
    <tableColumn id="1" xr3:uid="{FBB2FDD2-A751-4C7C-B73B-F58A9EEDFC68}" name="HSN Code" dataDxfId="36"/>
    <tableColumn id="2" xr3:uid="{721B4C8E-2464-4AA2-BBCF-C2D73774D391}" name="Product Name" dataDxfId="35"/>
    <tableColumn id="3" xr3:uid="{F9DBE145-409F-41C1-AB7F-08159EFD64C2}" name="Vendor Name" dataDxfId="34"/>
    <tableColumn id="4" xr3:uid="{D42376BF-64FA-4813-A550-F34E45F5D874}" name="Phone" dataDxfId="33"/>
    <tableColumn id="5" xr3:uid="{D539FE64-C822-4BBA-AE26-2ABD23A54F7B}" name="Address" dataDxfId="3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8DB392-3079-4641-97F0-C991716F00D3}" name="Purchasedata" displayName="Purchasedata" ref="D6:J19" totalsRowShown="0" headerRowDxfId="24" dataDxfId="25">
  <autoFilter ref="D6:J19" xr:uid="{5A8DB392-3079-4641-97F0-C991716F00D3}"/>
  <tableColumns count="7">
    <tableColumn id="1" xr3:uid="{AF691BB9-4575-4D30-8E83-2BC3B842CF91}" name="HSN Code" dataDxfId="29"/>
    <tableColumn id="2" xr3:uid="{A3254F49-92DD-4696-B6AF-38D15429688E}" name="Product Name" dataDxfId="16">
      <calculatedColumnFormula>IFERROR(VLOOKUP(Purchasedata[[#This Row],[HSN Code]],Productsdata[#All],2,0),"")</calculatedColumnFormula>
    </tableColumn>
    <tableColumn id="3" xr3:uid="{D090CD9F-06EE-46FA-AF1D-D931994AAD34}" name="Vendor" dataDxfId="28">
      <calculatedColumnFormula>IFERROR(VLOOKUP(Purchasedata[[#This Row],[HSN Code]],Vendorsdata[],3,0),"")</calculatedColumnFormula>
    </tableColumn>
    <tableColumn id="4" xr3:uid="{4E28EFF1-E3B5-41FC-8C54-260F0B20E421}" name="Date" dataDxfId="27"/>
    <tableColumn id="5" xr3:uid="{3FF39204-35A3-4A75-8C77-F654C95C4800}" name="Units" dataDxfId="26"/>
    <tableColumn id="6" xr3:uid="{BE07ED8A-CBBE-4FAA-A159-AD8178CEB02D}" name="Cost" dataDxfId="15">
      <calculatedColumnFormula>IFERROR(VLOOKUP(Purchasedata[[#This Row],[HSN Code]],Productsdata[#All],3,0),"")</calculatedColumnFormula>
    </tableColumn>
    <tableColumn id="7" xr3:uid="{FA708D13-7A01-458A-AD24-55B8608CF437}" name="Amount" dataDxfId="14">
      <calculatedColumnFormula>IFERROR(Purchasedata[[#This Row],[Units]]*Purchasedata[[#This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7DFC29-728E-4E9D-9009-CB659B0A24A7}" name="Salesdata" displayName="Salesdata" ref="D6:L19" totalsRowShown="0" headerRowDxfId="17" dataDxfId="18">
  <autoFilter ref="D6:L19" xr:uid="{337DFC29-728E-4E9D-9009-CB659B0A24A7}"/>
  <tableColumns count="9">
    <tableColumn id="1" xr3:uid="{D522436C-AAEA-4611-9101-9E04F6A038AE}" name="Cust_ID" dataDxfId="23"/>
    <tableColumn id="2" xr3:uid="{AB58BD61-F1E9-4680-9C8F-289F1386EF4B}" name="Cust_Name" dataDxfId="22">
      <calculatedColumnFormula>IFERROR(VLOOKUP(Salesdata[[#This Row],[Cust_ID]],Customersdata[#All],2,0),"")</calculatedColumnFormula>
    </tableColumn>
    <tableColumn id="3" xr3:uid="{37D3AA1B-D7EB-4A08-9C05-C7B2360E47CF}" name="HSN Code" dataDxfId="21"/>
    <tableColumn id="4" xr3:uid="{0C2F429E-46D6-45CC-8D99-89F4BE384235}" name="Product Name" dataDxfId="12"/>
    <tableColumn id="5" xr3:uid="{C56D9155-8E84-417C-A3FE-FB3E8E7E4504}" name="Date" dataDxfId="11"/>
    <tableColumn id="6" xr3:uid="{F013422F-4F13-4679-BEA0-64F39B7A3839}" name="Stock(Units)" dataDxfId="2">
      <calculatedColumnFormula>IFERROR(VLOOKUP(Salesdata[[#This Row],[HSN Code]],Table9[#All],6,0),"")</calculatedColumnFormula>
    </tableColumn>
    <tableColumn id="7" xr3:uid="{4BBDE354-5CF7-4765-B870-491E66D6AEAE}" name="Units" dataDxfId="20"/>
    <tableColumn id="8" xr3:uid="{8A6BB98A-9DA7-4A23-BFEF-B9A2021C885C}" name="Price" dataDxfId="19"/>
    <tableColumn id="9" xr3:uid="{56AEAEF0-83D4-4BD7-A028-8BA59434D872}" name="Amount" dataDxfId="13">
      <calculatedColumnFormula>IFERROR(Salesdata[[#This Row],[Units]]*Salesdata[[#This Row],[Price]],"")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B96474-7746-422C-92EA-ADE3FF156244}" name="Table9" displayName="Table9" ref="D6:K16" totalsRowShown="0" headerRowDxfId="6" dataDxfId="7">
  <autoFilter ref="D6:K16" xr:uid="{22B96474-7746-422C-92EA-ADE3FF156244}"/>
  <tableColumns count="8">
    <tableColumn id="1" xr3:uid="{E28A4BE2-9017-4E6F-B277-D45DE6E2288F}" name="HSN Code" dataDxfId="10">
      <calculatedColumnFormula>IFERROR(Productsdata[[#This Row],[HSN Code]],"")</calculatedColumnFormula>
    </tableColumn>
    <tableColumn id="2" xr3:uid="{648CDFDC-DAF6-4CB8-AA7E-B9022CCF2EA6}" name="Product Name" dataDxfId="9">
      <calculatedColumnFormula>IFERROR(Productsdata[[#This Row],[Product Name]],"")</calculatedColumnFormula>
    </tableColumn>
    <tableColumn id="3" xr3:uid="{988B47A5-9722-4740-ADB1-AD2BAD358A16}" name="Cost" dataDxfId="8">
      <calculatedColumnFormula>IFERROR(Productsdata[[#This Row],[Cost]],"")</calculatedColumnFormula>
    </tableColumn>
    <tableColumn id="4" xr3:uid="{E607883C-CFB0-44C6-841A-C3A38A5E28C6}" name="P Units" dataDxfId="5">
      <calculatedColumnFormula>SUMIF(Purchasedata[Product Name],Table9[[#This Row],[Product Name]],Purchasedata[Units])</calculatedColumnFormula>
    </tableColumn>
    <tableColumn id="5" xr3:uid="{4DC77976-F6F8-41F9-8202-AD2B43B14D21}" name="S Units" dataDxfId="4">
      <calculatedColumnFormula>SUMIF(Salesdata[Product Name],Table9[[#This Row],[Product Name]],Salesdata[Units])</calculatedColumnFormula>
    </tableColumn>
    <tableColumn id="6" xr3:uid="{17BB2AF3-3301-4C0D-A390-3209E16BB7CF}" name="Stock" dataDxfId="3">
      <calculatedColumnFormula>Table9[[#This Row],[P Units]]-Table9[[#This Row],[S Units]]</calculatedColumnFormula>
    </tableColumn>
    <tableColumn id="7" xr3:uid="{B80A32D6-A2DE-49E8-B490-3FA8B59BB4E6}" name="Stock  Amt" dataDxfId="1">
      <calculatedColumnFormula>IFERROR(Table9[[#This Row],[Cost]]*Table9[[#This Row],[Stock]],"")</calculatedColumnFormula>
    </tableColumn>
    <tableColumn id="8" xr3:uid="{3E9D1568-49BF-428C-B8D4-61900AFB7CBD}" name="Notification" dataDxfId="0">
      <calculatedColumnFormula>IF(Table9[[#This Row],[Stock]]&lt;5,"📞 "&amp;Table9[[#This Row],[Product Name]]&amp;" Needs to re-order ! PH "&amp;VLOOKUP(Table9[[#This Row],[HSN Code]],Vendorsdata[#All],4,0),"")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D4D4-3B97-4C78-BA41-740766FAC1C2}">
  <dimension ref="B1:R31"/>
  <sheetViews>
    <sheetView showGridLines="0" showRowColHeaders="0" tabSelected="1" workbookViewId="0">
      <selection activeCell="L32" sqref="L32"/>
    </sheetView>
  </sheetViews>
  <sheetFormatPr defaultRowHeight="14.4" x14ac:dyDescent="0.3"/>
  <cols>
    <col min="1" max="1" width="8.88671875" style="1"/>
    <col min="2" max="2" width="17.5546875" style="2" customWidth="1"/>
    <col min="3" max="16" width="8.88671875" style="1"/>
    <col min="17" max="17" width="5.33203125" style="1" customWidth="1"/>
    <col min="18" max="16384" width="8.88671875" style="1"/>
  </cols>
  <sheetData>
    <row r="1" spans="2:18" x14ac:dyDescent="0.3">
      <c r="B1" s="1"/>
    </row>
    <row r="10" spans="2:18" x14ac:dyDescent="0.3">
      <c r="L10" s="2"/>
      <c r="M10" s="2"/>
      <c r="N10" s="2"/>
      <c r="O10" s="2"/>
      <c r="P10" s="2"/>
      <c r="Q10" s="2"/>
    </row>
    <row r="11" spans="2:18" x14ac:dyDescent="0.3">
      <c r="B11" s="3"/>
      <c r="L11" s="2"/>
      <c r="M11" s="2"/>
      <c r="N11" s="2"/>
      <c r="O11" s="2"/>
      <c r="P11" s="2"/>
      <c r="Q11" s="2"/>
    </row>
    <row r="12" spans="2:18" ht="18" x14ac:dyDescent="0.35">
      <c r="B12" s="5"/>
      <c r="L12" s="15" t="s">
        <v>91</v>
      </c>
      <c r="M12" s="16"/>
      <c r="N12" s="14"/>
      <c r="O12" s="14"/>
      <c r="P12" s="14"/>
      <c r="Q12" s="14"/>
    </row>
    <row r="13" spans="2:18" x14ac:dyDescent="0.3">
      <c r="B13" s="5"/>
      <c r="L13" s="2" t="str" cm="1">
        <f t="array" ref="L13:L16">_xlfn._xlws.FILTER(Table9[Notification],Table9[Notification]&lt;&gt;"")</f>
        <v>📞 Smart Watch Needs to re-order ! PH 9812xxxxxx</v>
      </c>
      <c r="M13" s="17"/>
      <c r="N13" s="17"/>
      <c r="O13" s="17"/>
      <c r="P13" s="17"/>
      <c r="Q13" s="17"/>
      <c r="R13" s="18"/>
    </row>
    <row r="14" spans="2:18" x14ac:dyDescent="0.3">
      <c r="B14" s="5"/>
      <c r="L14" s="2" t="str">
        <v>📞 Laptop HP xyz i5 Needs to re-order ! PH 9812xxxxxx</v>
      </c>
      <c r="M14" s="17"/>
      <c r="N14" s="17"/>
      <c r="O14" s="17"/>
      <c r="P14" s="17"/>
      <c r="Q14" s="17"/>
      <c r="R14" s="18"/>
    </row>
    <row r="15" spans="2:18" x14ac:dyDescent="0.3">
      <c r="B15" s="5"/>
      <c r="L15" s="2" t="str">
        <v>📞 Speakers Needs to re-order ! PH 9814xxxxxx</v>
      </c>
      <c r="M15" s="17"/>
      <c r="N15" s="17"/>
      <c r="O15" s="17"/>
      <c r="P15" s="17"/>
      <c r="Q15" s="17"/>
      <c r="R15" s="18"/>
    </row>
    <row r="16" spans="2:18" x14ac:dyDescent="0.3">
      <c r="B16" s="5"/>
      <c r="L16" s="2" t="str">
        <v>📞 Tablets Needs to re-order ! PH 9814xxxxxx</v>
      </c>
      <c r="M16" s="17"/>
      <c r="N16" s="17"/>
      <c r="O16" s="17"/>
      <c r="P16" s="17"/>
      <c r="Q16" s="17"/>
      <c r="R16" s="18"/>
    </row>
    <row r="17" spans="2:17" x14ac:dyDescent="0.3">
      <c r="B17" s="5"/>
      <c r="L17" s="2"/>
      <c r="M17" s="2"/>
      <c r="N17" s="2"/>
      <c r="O17" s="2"/>
      <c r="P17" s="2"/>
      <c r="Q17" s="2"/>
    </row>
    <row r="18" spans="2:17" x14ac:dyDescent="0.3">
      <c r="B18" s="5"/>
      <c r="L18" s="2"/>
      <c r="M18" s="2"/>
      <c r="N18" s="2"/>
      <c r="O18" s="2"/>
      <c r="P18" s="2"/>
      <c r="Q18" s="2"/>
    </row>
    <row r="19" spans="2:17" x14ac:dyDescent="0.3">
      <c r="L19" s="2"/>
      <c r="M19" s="2"/>
      <c r="N19" s="2"/>
      <c r="O19" s="2"/>
      <c r="P19" s="2"/>
      <c r="Q19" s="2"/>
    </row>
    <row r="20" spans="2:17" x14ac:dyDescent="0.3">
      <c r="L20" s="2"/>
      <c r="M20" s="2"/>
      <c r="N20" s="2"/>
      <c r="O20" s="2"/>
      <c r="P20" s="2"/>
      <c r="Q20" s="2"/>
    </row>
    <row r="21" spans="2:17" x14ac:dyDescent="0.3">
      <c r="L21" s="2"/>
      <c r="M21" s="2"/>
      <c r="N21" s="2"/>
      <c r="O21" s="2"/>
      <c r="P21" s="2"/>
      <c r="Q21" s="2"/>
    </row>
    <row r="22" spans="2:17" x14ac:dyDescent="0.3">
      <c r="L22" s="2"/>
      <c r="M22" s="2"/>
      <c r="N22" s="2"/>
      <c r="O22" s="2"/>
      <c r="P22" s="2"/>
      <c r="Q22" s="2"/>
    </row>
    <row r="23" spans="2:17" x14ac:dyDescent="0.3">
      <c r="L23" s="2"/>
      <c r="M23" s="2"/>
      <c r="N23" s="2"/>
      <c r="O23" s="2"/>
      <c r="P23" s="2"/>
      <c r="Q23" s="2"/>
    </row>
    <row r="24" spans="2:17" x14ac:dyDescent="0.3">
      <c r="L24" s="2"/>
      <c r="M24" s="2"/>
      <c r="N24" s="2"/>
      <c r="O24" s="2"/>
      <c r="P24" s="2"/>
      <c r="Q24" s="2"/>
    </row>
    <row r="25" spans="2:17" x14ac:dyDescent="0.3">
      <c r="L25" s="2"/>
      <c r="M25" s="2"/>
      <c r="N25" s="2"/>
      <c r="O25" s="2"/>
      <c r="P25" s="2"/>
      <c r="Q25" s="2"/>
    </row>
    <row r="26" spans="2:17" x14ac:dyDescent="0.3">
      <c r="L26" s="2"/>
      <c r="M26" s="2"/>
      <c r="N26" s="2"/>
      <c r="O26" s="2"/>
      <c r="P26" s="2"/>
      <c r="Q26" s="2"/>
    </row>
    <row r="27" spans="2:17" x14ac:dyDescent="0.3">
      <c r="L27" s="2"/>
      <c r="M27" s="2"/>
      <c r="N27" s="2"/>
      <c r="O27" s="2"/>
      <c r="P27" s="2"/>
      <c r="Q27" s="2"/>
    </row>
    <row r="28" spans="2:17" x14ac:dyDescent="0.3">
      <c r="L28" s="2"/>
      <c r="M28" s="2"/>
      <c r="N28" s="2"/>
      <c r="O28" s="2"/>
      <c r="P28" s="2"/>
      <c r="Q28" s="2"/>
    </row>
    <row r="29" spans="2:17" x14ac:dyDescent="0.3">
      <c r="L29" s="2"/>
      <c r="M29" s="2"/>
      <c r="N29" s="2"/>
      <c r="O29" s="2"/>
      <c r="P29" s="2"/>
      <c r="Q29" s="2"/>
    </row>
    <row r="30" spans="2:17" x14ac:dyDescent="0.3">
      <c r="L30" s="2"/>
      <c r="M30" s="2"/>
      <c r="N30" s="2"/>
      <c r="O30" s="2"/>
      <c r="P30" s="2"/>
      <c r="Q30" s="2"/>
    </row>
    <row r="31" spans="2:17" x14ac:dyDescent="0.3">
      <c r="B3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0589-2ECD-4A95-ACAA-77F4B95B845A}">
  <dimension ref="B1:G18"/>
  <sheetViews>
    <sheetView workbookViewId="0">
      <selection activeCell="F15" sqref="F15"/>
    </sheetView>
  </sheetViews>
  <sheetFormatPr defaultRowHeight="14.4" x14ac:dyDescent="0.3"/>
  <cols>
    <col min="1" max="1" width="8.88671875" style="1"/>
    <col min="2" max="2" width="17.5546875" style="2" customWidth="1"/>
    <col min="3" max="3" width="5.5546875" style="1" customWidth="1"/>
    <col min="4" max="4" width="9.33203125" style="1" customWidth="1"/>
    <col min="5" max="5" width="12" style="1" bestFit="1" customWidth="1"/>
    <col min="6" max="6" width="15" style="1" bestFit="1" customWidth="1"/>
    <col min="7" max="7" width="16.6640625" style="1" bestFit="1" customWidth="1"/>
    <col min="8" max="16384" width="8.88671875" style="1"/>
  </cols>
  <sheetData>
    <row r="1" spans="2:7" x14ac:dyDescent="0.3">
      <c r="B1" s="1"/>
    </row>
    <row r="7" spans="2:7" x14ac:dyDescent="0.3">
      <c r="D7" s="1" t="s">
        <v>2</v>
      </c>
      <c r="E7" s="1" t="s">
        <v>3</v>
      </c>
      <c r="F7" s="1" t="s">
        <v>4</v>
      </c>
      <c r="G7" s="1" t="s">
        <v>5</v>
      </c>
    </row>
    <row r="8" spans="2:7" x14ac:dyDescent="0.3">
      <c r="D8" s="6">
        <v>100</v>
      </c>
      <c r="E8" s="1" t="s">
        <v>6</v>
      </c>
      <c r="F8" s="1" t="s">
        <v>7</v>
      </c>
      <c r="G8" s="1" t="s">
        <v>8</v>
      </c>
    </row>
    <row r="9" spans="2:7" x14ac:dyDescent="0.3">
      <c r="D9" s="6">
        <v>101</v>
      </c>
      <c r="E9" s="1" t="s">
        <v>9</v>
      </c>
      <c r="F9" s="1" t="s">
        <v>10</v>
      </c>
      <c r="G9" s="1" t="s">
        <v>11</v>
      </c>
    </row>
    <row r="10" spans="2:7" x14ac:dyDescent="0.3">
      <c r="D10" s="6">
        <v>102</v>
      </c>
      <c r="E10" s="1" t="s">
        <v>12</v>
      </c>
      <c r="F10" s="1" t="s">
        <v>13</v>
      </c>
      <c r="G10" s="1" t="s">
        <v>14</v>
      </c>
    </row>
    <row r="11" spans="2:7" x14ac:dyDescent="0.3">
      <c r="B11" s="3"/>
      <c r="D11" s="6">
        <v>103</v>
      </c>
      <c r="E11" s="1" t="s">
        <v>15</v>
      </c>
      <c r="F11" s="1" t="s">
        <v>16</v>
      </c>
      <c r="G11" s="1" t="s">
        <v>17</v>
      </c>
    </row>
    <row r="12" spans="2:7" x14ac:dyDescent="0.3">
      <c r="B12" s="5"/>
      <c r="D12" s="6">
        <v>104</v>
      </c>
      <c r="E12" s="1" t="s">
        <v>18</v>
      </c>
      <c r="F12" s="1" t="s">
        <v>19</v>
      </c>
      <c r="G12" s="1" t="s">
        <v>20</v>
      </c>
    </row>
    <row r="13" spans="2:7" x14ac:dyDescent="0.3">
      <c r="B13" s="5"/>
      <c r="D13" s="6">
        <v>105</v>
      </c>
      <c r="E13" s="1" t="s">
        <v>21</v>
      </c>
      <c r="F13" s="1" t="s">
        <v>22</v>
      </c>
      <c r="G13" s="1" t="s">
        <v>23</v>
      </c>
    </row>
    <row r="14" spans="2:7" x14ac:dyDescent="0.3">
      <c r="B14" s="5"/>
      <c r="D14" s="6">
        <v>106</v>
      </c>
      <c r="E14" s="1" t="s">
        <v>24</v>
      </c>
      <c r="F14" s="1" t="s">
        <v>25</v>
      </c>
      <c r="G14" s="1" t="s">
        <v>26</v>
      </c>
    </row>
    <row r="15" spans="2:7" x14ac:dyDescent="0.3">
      <c r="B15" s="5"/>
      <c r="D15" s="6"/>
    </row>
    <row r="16" spans="2:7" x14ac:dyDescent="0.3">
      <c r="B16" s="5"/>
      <c r="D16" s="6"/>
    </row>
    <row r="17" spans="2:2" x14ac:dyDescent="0.3">
      <c r="B17" s="5"/>
    </row>
    <row r="18" spans="2:2" x14ac:dyDescent="0.3">
      <c r="B18" s="5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DB8E-2F5D-4EE2-B3EB-AFB143445CB1}">
  <dimension ref="B1:G18"/>
  <sheetViews>
    <sheetView workbookViewId="0">
      <selection activeCell="D6" sqref="D6:G16"/>
    </sheetView>
  </sheetViews>
  <sheetFormatPr defaultRowHeight="14.4" x14ac:dyDescent="0.3"/>
  <cols>
    <col min="1" max="1" width="8.88671875" style="1"/>
    <col min="2" max="2" width="17.5546875" style="2" customWidth="1"/>
    <col min="3" max="3" width="6" style="1" customWidth="1"/>
    <col min="4" max="4" width="11.21875" style="1" customWidth="1"/>
    <col min="5" max="5" width="15" style="1" customWidth="1"/>
    <col min="6" max="6" width="8.88671875" style="1"/>
    <col min="7" max="7" width="12.88671875" style="1" customWidth="1"/>
    <col min="8" max="16384" width="8.88671875" style="1"/>
  </cols>
  <sheetData>
    <row r="1" spans="2:7" x14ac:dyDescent="0.3">
      <c r="B1" s="1"/>
    </row>
    <row r="6" spans="2:7" x14ac:dyDescent="0.3">
      <c r="D6" s="1" t="s">
        <v>27</v>
      </c>
      <c r="E6" s="1" t="s">
        <v>28</v>
      </c>
      <c r="F6" s="1" t="s">
        <v>29</v>
      </c>
      <c r="G6" s="1" t="s">
        <v>30</v>
      </c>
    </row>
    <row r="7" spans="2:7" x14ac:dyDescent="0.3">
      <c r="D7" s="1" t="s">
        <v>31</v>
      </c>
      <c r="E7" s="1" t="s">
        <v>32</v>
      </c>
      <c r="F7" s="1">
        <v>980</v>
      </c>
      <c r="G7" s="1">
        <v>1176</v>
      </c>
    </row>
    <row r="8" spans="2:7" x14ac:dyDescent="0.3">
      <c r="D8" s="1" t="s">
        <v>33</v>
      </c>
      <c r="E8" s="1" t="s">
        <v>34</v>
      </c>
      <c r="F8" s="1">
        <v>34500</v>
      </c>
      <c r="G8" s="1">
        <v>41400</v>
      </c>
    </row>
    <row r="9" spans="2:7" x14ac:dyDescent="0.3">
      <c r="D9" s="1" t="s">
        <v>35</v>
      </c>
      <c r="E9" s="1" t="s">
        <v>36</v>
      </c>
      <c r="F9" s="1">
        <v>4600</v>
      </c>
      <c r="G9" s="1">
        <v>5520</v>
      </c>
    </row>
    <row r="10" spans="2:7" x14ac:dyDescent="0.3">
      <c r="D10" s="1" t="s">
        <v>37</v>
      </c>
      <c r="E10" s="1" t="s">
        <v>38</v>
      </c>
      <c r="F10" s="1">
        <v>21000</v>
      </c>
      <c r="G10" s="1">
        <v>25200</v>
      </c>
    </row>
    <row r="11" spans="2:7" x14ac:dyDescent="0.3">
      <c r="B11" s="3"/>
      <c r="D11" s="1" t="s">
        <v>39</v>
      </c>
      <c r="E11" s="1" t="s">
        <v>40</v>
      </c>
      <c r="F11" s="1">
        <v>200</v>
      </c>
      <c r="G11" s="1">
        <v>240</v>
      </c>
    </row>
    <row r="12" spans="2:7" x14ac:dyDescent="0.3">
      <c r="B12" s="5"/>
      <c r="D12" s="1" t="s">
        <v>41</v>
      </c>
      <c r="E12" s="1" t="s">
        <v>42</v>
      </c>
      <c r="F12" s="1">
        <v>340</v>
      </c>
      <c r="G12" s="1">
        <v>408</v>
      </c>
    </row>
    <row r="13" spans="2:7" x14ac:dyDescent="0.3">
      <c r="B13" s="5"/>
      <c r="D13" s="1" t="s">
        <v>43</v>
      </c>
      <c r="E13" s="1" t="s">
        <v>44</v>
      </c>
      <c r="F13" s="1">
        <v>52000</v>
      </c>
      <c r="G13" s="1">
        <v>62400</v>
      </c>
    </row>
    <row r="14" spans="2:7" x14ac:dyDescent="0.3">
      <c r="B14" s="5"/>
      <c r="D14" s="1" t="s">
        <v>45</v>
      </c>
      <c r="E14" s="1" t="s">
        <v>46</v>
      </c>
      <c r="F14" s="1">
        <v>799</v>
      </c>
      <c r="G14" s="1">
        <v>958.8</v>
      </c>
    </row>
    <row r="15" spans="2:7" x14ac:dyDescent="0.3">
      <c r="B15" s="5"/>
      <c r="D15" s="1" t="s">
        <v>47</v>
      </c>
      <c r="E15" s="1" t="s">
        <v>48</v>
      </c>
      <c r="F15" s="1">
        <v>670</v>
      </c>
      <c r="G15" s="1">
        <v>804</v>
      </c>
    </row>
    <row r="16" spans="2:7" x14ac:dyDescent="0.3">
      <c r="B16" s="5"/>
      <c r="D16" s="1" t="s">
        <v>49</v>
      </c>
      <c r="E16" s="1" t="s">
        <v>50</v>
      </c>
      <c r="F16" s="1">
        <v>23500</v>
      </c>
      <c r="G16" s="1">
        <v>28200</v>
      </c>
    </row>
    <row r="17" spans="2:2" x14ac:dyDescent="0.3">
      <c r="B17" s="5"/>
    </row>
    <row r="18" spans="2:2" x14ac:dyDescent="0.3">
      <c r="B18" s="5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37C6-D997-40E5-8D8F-B87FDA695442}">
  <dimension ref="B1:H18"/>
  <sheetViews>
    <sheetView workbookViewId="0">
      <selection activeCell="M18" sqref="M17:M18"/>
    </sheetView>
  </sheetViews>
  <sheetFormatPr defaultRowHeight="14.4" x14ac:dyDescent="0.3"/>
  <cols>
    <col min="1" max="1" width="8.88671875" style="1"/>
    <col min="2" max="2" width="17.5546875" style="2" customWidth="1"/>
    <col min="3" max="3" width="5.6640625" style="1" customWidth="1"/>
    <col min="4" max="4" width="11.21875" style="1" customWidth="1"/>
    <col min="5" max="5" width="15" style="1" customWidth="1"/>
    <col min="6" max="6" width="14.5546875" style="1" customWidth="1"/>
    <col min="7" max="7" width="8.88671875" style="1"/>
    <col min="8" max="8" width="16.33203125" style="1" bestFit="1" customWidth="1"/>
    <col min="9" max="16384" width="8.88671875" style="1"/>
  </cols>
  <sheetData>
    <row r="1" spans="2:8" x14ac:dyDescent="0.3">
      <c r="B1" s="1"/>
    </row>
    <row r="6" spans="2:8" x14ac:dyDescent="0.3">
      <c r="D6" s="1" t="s">
        <v>27</v>
      </c>
      <c r="E6" s="1" t="s">
        <v>28</v>
      </c>
      <c r="F6" s="1" t="s">
        <v>51</v>
      </c>
      <c r="G6" s="1" t="s">
        <v>52</v>
      </c>
      <c r="H6" s="1" t="s">
        <v>5</v>
      </c>
    </row>
    <row r="7" spans="2:8" x14ac:dyDescent="0.3">
      <c r="D7" s="1" t="s">
        <v>31</v>
      </c>
      <c r="E7" s="1" t="s">
        <v>32</v>
      </c>
      <c r="F7" s="1" t="s">
        <v>53</v>
      </c>
      <c r="G7" s="1" t="s">
        <v>54</v>
      </c>
      <c r="H7" s="1" t="s">
        <v>14</v>
      </c>
    </row>
    <row r="8" spans="2:8" x14ac:dyDescent="0.3">
      <c r="D8" s="1" t="s">
        <v>33</v>
      </c>
      <c r="E8" s="1" t="s">
        <v>34</v>
      </c>
      <c r="F8" s="1" t="s">
        <v>53</v>
      </c>
      <c r="G8" s="1" t="s">
        <v>54</v>
      </c>
      <c r="H8" s="1" t="s">
        <v>55</v>
      </c>
    </row>
    <row r="9" spans="2:8" x14ac:dyDescent="0.3">
      <c r="D9" s="1" t="s">
        <v>35</v>
      </c>
      <c r="E9" s="1" t="s">
        <v>36</v>
      </c>
      <c r="F9" s="1" t="s">
        <v>53</v>
      </c>
      <c r="G9" s="1" t="s">
        <v>54</v>
      </c>
      <c r="H9" s="1" t="s">
        <v>56</v>
      </c>
    </row>
    <row r="10" spans="2:8" x14ac:dyDescent="0.3">
      <c r="D10" s="1" t="s">
        <v>37</v>
      </c>
      <c r="E10" s="1" t="s">
        <v>38</v>
      </c>
      <c r="F10" s="1" t="s">
        <v>57</v>
      </c>
      <c r="G10" s="1" t="s">
        <v>58</v>
      </c>
      <c r="H10" s="1" t="s">
        <v>23</v>
      </c>
    </row>
    <row r="11" spans="2:8" x14ac:dyDescent="0.3">
      <c r="B11" s="3"/>
      <c r="D11" s="1" t="s">
        <v>39</v>
      </c>
      <c r="E11" s="1" t="s">
        <v>40</v>
      </c>
      <c r="F11" s="1" t="s">
        <v>57</v>
      </c>
      <c r="G11" s="1" t="s">
        <v>58</v>
      </c>
      <c r="H11" s="1" t="s">
        <v>59</v>
      </c>
    </row>
    <row r="12" spans="2:8" x14ac:dyDescent="0.3">
      <c r="B12" s="5"/>
      <c r="D12" s="1" t="s">
        <v>41</v>
      </c>
      <c r="E12" s="1" t="s">
        <v>42</v>
      </c>
      <c r="F12" s="1" t="s">
        <v>57</v>
      </c>
      <c r="G12" s="1" t="s">
        <v>58</v>
      </c>
      <c r="H12" s="1" t="s">
        <v>60</v>
      </c>
    </row>
    <row r="13" spans="2:8" x14ac:dyDescent="0.3">
      <c r="B13" s="5"/>
      <c r="D13" s="1" t="s">
        <v>43</v>
      </c>
      <c r="E13" s="1" t="s">
        <v>44</v>
      </c>
      <c r="F13" s="1" t="s">
        <v>57</v>
      </c>
      <c r="G13" s="1" t="s">
        <v>58</v>
      </c>
      <c r="H13" s="1" t="s">
        <v>61</v>
      </c>
    </row>
    <row r="14" spans="2:8" x14ac:dyDescent="0.3">
      <c r="B14" s="5"/>
      <c r="D14" s="1" t="s">
        <v>45</v>
      </c>
      <c r="E14" s="1" t="s">
        <v>46</v>
      </c>
      <c r="F14" s="1" t="s">
        <v>62</v>
      </c>
      <c r="G14" s="1" t="s">
        <v>63</v>
      </c>
      <c r="H14" s="1" t="s">
        <v>64</v>
      </c>
    </row>
    <row r="15" spans="2:8" x14ac:dyDescent="0.3">
      <c r="B15" s="5"/>
      <c r="D15" s="1" t="s">
        <v>47</v>
      </c>
      <c r="E15" s="1" t="s">
        <v>48</v>
      </c>
      <c r="F15" s="1" t="s">
        <v>62</v>
      </c>
      <c r="G15" s="1" t="s">
        <v>63</v>
      </c>
      <c r="H15" s="1" t="s">
        <v>65</v>
      </c>
    </row>
    <row r="16" spans="2:8" x14ac:dyDescent="0.3">
      <c r="B16" s="5"/>
      <c r="D16" s="1" t="s">
        <v>49</v>
      </c>
      <c r="E16" s="1" t="s">
        <v>50</v>
      </c>
      <c r="F16" s="1" t="s">
        <v>62</v>
      </c>
      <c r="G16" s="1" t="s">
        <v>63</v>
      </c>
      <c r="H16" s="1" t="s">
        <v>66</v>
      </c>
    </row>
    <row r="17" spans="2:2" x14ac:dyDescent="0.3">
      <c r="B17" s="5"/>
    </row>
    <row r="18" spans="2:2" x14ac:dyDescent="0.3">
      <c r="B18" s="5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2DC2-F787-41FA-845B-41886AF11D87}">
  <dimension ref="B1:E18"/>
  <sheetViews>
    <sheetView workbookViewId="0">
      <selection activeCell="E10" sqref="E10"/>
    </sheetView>
  </sheetViews>
  <sheetFormatPr defaultRowHeight="14.4" x14ac:dyDescent="0.3"/>
  <cols>
    <col min="1" max="1" width="8.88671875" style="1"/>
    <col min="2" max="2" width="17.5546875" style="2" customWidth="1"/>
    <col min="3" max="16384" width="8.88671875" style="1"/>
  </cols>
  <sheetData>
    <row r="1" spans="2:5" x14ac:dyDescent="0.3">
      <c r="B1" s="1"/>
    </row>
    <row r="10" spans="2:5" ht="15.6" x14ac:dyDescent="0.3">
      <c r="E10" s="7" t="s">
        <v>77</v>
      </c>
    </row>
    <row r="11" spans="2:5" x14ac:dyDescent="0.3">
      <c r="B11" s="3"/>
    </row>
    <row r="12" spans="2:5" x14ac:dyDescent="0.3">
      <c r="B12" s="5"/>
    </row>
    <row r="13" spans="2:5" ht="15.6" x14ac:dyDescent="0.3">
      <c r="B13" s="5"/>
      <c r="E13" s="7" t="s">
        <v>78</v>
      </c>
    </row>
    <row r="14" spans="2:5" x14ac:dyDescent="0.3">
      <c r="B14" s="5"/>
    </row>
    <row r="15" spans="2:5" x14ac:dyDescent="0.3">
      <c r="B15" s="5"/>
    </row>
    <row r="16" spans="2:5" x14ac:dyDescent="0.3">
      <c r="B16" s="5"/>
    </row>
    <row r="17" spans="2:2" x14ac:dyDescent="0.3">
      <c r="B17" s="5"/>
    </row>
    <row r="18" spans="2:2" x14ac:dyDescent="0.3">
      <c r="B18" s="5"/>
    </row>
  </sheetData>
  <hyperlinks>
    <hyperlink ref="E10" location="Purchase!A1" display="Purchase Entry" xr:uid="{07D6FF38-8193-462C-87CD-C2EAC906EC9E}"/>
    <hyperlink ref="E13" location="Sales!A1" display="Sale Entry" xr:uid="{65E65CFF-9696-44B7-A700-4C21D1412D06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5CEC-B0A8-451A-BE50-C41A2D8D70DB}">
  <dimension ref="B1:J2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6" sqref="D6:J19"/>
    </sheetView>
  </sheetViews>
  <sheetFormatPr defaultRowHeight="14.4" x14ac:dyDescent="0.3"/>
  <cols>
    <col min="1" max="1" width="8.88671875" style="1"/>
    <col min="2" max="2" width="17.5546875" style="2" customWidth="1"/>
    <col min="3" max="3" width="5.6640625" style="1" customWidth="1"/>
    <col min="4" max="4" width="11.21875" style="1" customWidth="1"/>
    <col min="5" max="5" width="15" style="1" customWidth="1"/>
    <col min="6" max="6" width="9.109375" style="1" customWidth="1"/>
    <col min="7" max="9" width="8.88671875" style="1"/>
    <col min="10" max="10" width="9.77734375" style="1" customWidth="1"/>
    <col min="11" max="16384" width="8.88671875" style="1"/>
  </cols>
  <sheetData>
    <row r="1" spans="2:10" x14ac:dyDescent="0.3">
      <c r="B1" s="1"/>
    </row>
    <row r="6" spans="2:10" x14ac:dyDescent="0.3">
      <c r="D6" s="1" t="s">
        <v>27</v>
      </c>
      <c r="E6" s="1" t="s">
        <v>28</v>
      </c>
      <c r="F6" s="1" t="s">
        <v>67</v>
      </c>
      <c r="G6" s="1" t="s">
        <v>68</v>
      </c>
      <c r="H6" s="1" t="s">
        <v>69</v>
      </c>
      <c r="I6" s="1" t="s">
        <v>29</v>
      </c>
      <c r="J6" s="1" t="s">
        <v>70</v>
      </c>
    </row>
    <row r="7" spans="2:10" x14ac:dyDescent="0.3">
      <c r="D7" s="1" t="s">
        <v>39</v>
      </c>
      <c r="E7" s="1" t="str">
        <f>IFERROR(VLOOKUP(Purchasedata[[#This Row],[HSN Code]],Productsdata[#All],2,0),"")</f>
        <v>Mouse</v>
      </c>
      <c r="F7" s="1" t="str">
        <f>IFERROR(VLOOKUP(Purchasedata[[#This Row],[HSN Code]],Vendorsdata[],3,0),"")</f>
        <v>GG Traders</v>
      </c>
      <c r="G7" s="1">
        <v>45292</v>
      </c>
      <c r="H7" s="1">
        <v>20</v>
      </c>
      <c r="I7" s="1">
        <f>IFERROR(VLOOKUP(Purchasedata[[#This Row],[HSN Code]],Productsdata[#All],3,0),"")</f>
        <v>200</v>
      </c>
      <c r="J7" s="1">
        <f>IFERROR(Purchasedata[[#This Row],[Units]]*Purchasedata[[#This Row],[Cost]],"")</f>
        <v>4000</v>
      </c>
    </row>
    <row r="8" spans="2:10" x14ac:dyDescent="0.3">
      <c r="D8" s="1" t="s">
        <v>45</v>
      </c>
      <c r="E8" s="1" t="str">
        <f>IFERROR(VLOOKUP(Purchasedata[[#This Row],[HSN Code]],Productsdata[#All],2,0),"")</f>
        <v>Headphones</v>
      </c>
      <c r="F8" s="1" t="str">
        <f>IFERROR(VLOOKUP(Purchasedata[[#This Row],[HSN Code]],Vendorsdata[],3,0),"")</f>
        <v>Compac</v>
      </c>
      <c r="G8" s="1">
        <v>45293</v>
      </c>
      <c r="H8" s="1">
        <v>10</v>
      </c>
      <c r="I8" s="1">
        <f>IFERROR(VLOOKUP(Purchasedata[[#This Row],[HSN Code]],Productsdata[#All],3,0),"")</f>
        <v>799</v>
      </c>
      <c r="J8" s="1">
        <f>IFERROR(Purchasedata[[#This Row],[Units]]*Purchasedata[[#This Row],[Cost]],"")</f>
        <v>7990</v>
      </c>
    </row>
    <row r="9" spans="2:10" x14ac:dyDescent="0.3">
      <c r="D9" s="1" t="s">
        <v>41</v>
      </c>
      <c r="E9" s="1" t="str">
        <f>IFERROR(VLOOKUP(Purchasedata[[#This Row],[HSN Code]],Productsdata[#All],2,0),"")</f>
        <v>Rgb Keyboard</v>
      </c>
      <c r="F9" s="1" t="str">
        <f>IFERROR(VLOOKUP(Purchasedata[[#This Row],[HSN Code]],Vendorsdata[],3,0),"")</f>
        <v>GG Traders</v>
      </c>
      <c r="G9" s="1">
        <v>45294</v>
      </c>
      <c r="H9" s="1">
        <v>50</v>
      </c>
      <c r="I9" s="1">
        <f>IFERROR(VLOOKUP(Purchasedata[[#This Row],[HSN Code]],Productsdata[#All],3,0),"")</f>
        <v>340</v>
      </c>
      <c r="J9" s="1">
        <f>IFERROR(Purchasedata[[#This Row],[Units]]*Purchasedata[[#This Row],[Cost]],"")</f>
        <v>17000</v>
      </c>
    </row>
    <row r="10" spans="2:10" x14ac:dyDescent="0.3">
      <c r="D10" s="1" t="s">
        <v>37</v>
      </c>
      <c r="E10" s="1" t="str">
        <f>IFERROR(VLOOKUP(Purchasedata[[#This Row],[HSN Code]],Productsdata[#All],2,0),"")</f>
        <v>Desktop</v>
      </c>
      <c r="F10" s="1" t="str">
        <f>IFERROR(VLOOKUP(Purchasedata[[#This Row],[HSN Code]],Vendorsdata[],3,0),"")</f>
        <v>GG Traders</v>
      </c>
      <c r="G10" s="1">
        <v>45295</v>
      </c>
      <c r="H10" s="1">
        <v>100</v>
      </c>
      <c r="I10" s="1">
        <f>IFERROR(VLOOKUP(Purchasedata[[#This Row],[HSN Code]],Productsdata[#All],3,0),"")</f>
        <v>21000</v>
      </c>
      <c r="J10" s="1">
        <f>IFERROR(Purchasedata[[#This Row],[Units]]*Purchasedata[[#This Row],[Cost]],"")</f>
        <v>2100000</v>
      </c>
    </row>
    <row r="11" spans="2:10" x14ac:dyDescent="0.3">
      <c r="B11" s="3"/>
      <c r="D11" s="1" t="s">
        <v>43</v>
      </c>
      <c r="E11" s="1" t="str">
        <f>IFERROR(VLOOKUP(Purchasedata[[#This Row],[HSN Code]],Productsdata[#All],2,0),"")</f>
        <v>Camera</v>
      </c>
      <c r="F11" s="1" t="str">
        <f>IFERROR(VLOOKUP(Purchasedata[[#This Row],[HSN Code]],Vendorsdata[],3,0),"")</f>
        <v>GG Traders</v>
      </c>
      <c r="G11" s="1">
        <v>45296</v>
      </c>
      <c r="H11" s="1">
        <v>20</v>
      </c>
      <c r="I11" s="1">
        <f>IFERROR(VLOOKUP(Purchasedata[[#This Row],[HSN Code]],Productsdata[#All],3,0),"")</f>
        <v>52000</v>
      </c>
      <c r="J11" s="1">
        <f>IFERROR(Purchasedata[[#This Row],[Units]]*Purchasedata[[#This Row],[Cost]],"")</f>
        <v>1040000</v>
      </c>
    </row>
    <row r="12" spans="2:10" x14ac:dyDescent="0.3">
      <c r="B12" s="5"/>
      <c r="D12" s="1" t="s">
        <v>31</v>
      </c>
      <c r="E12" s="1" t="str">
        <f>IFERROR(VLOOKUP(Purchasedata[[#This Row],[HSN Code]],Productsdata[#All],2,0),"")</f>
        <v>Smart Watch</v>
      </c>
      <c r="F12" s="1" t="str">
        <f>IFERROR(VLOOKUP(Purchasedata[[#This Row],[HSN Code]],Vendorsdata[],3,0),"")</f>
        <v>Tech99</v>
      </c>
      <c r="G12" s="1">
        <v>45297</v>
      </c>
      <c r="H12" s="1">
        <v>40</v>
      </c>
      <c r="I12" s="1">
        <f>IFERROR(VLOOKUP(Purchasedata[[#This Row],[HSN Code]],Productsdata[#All],3,0),"")</f>
        <v>980</v>
      </c>
      <c r="J12" s="1">
        <f>IFERROR(Purchasedata[[#This Row],[Units]]*Purchasedata[[#This Row],[Cost]],"")</f>
        <v>39200</v>
      </c>
    </row>
    <row r="13" spans="2:10" x14ac:dyDescent="0.3">
      <c r="B13" s="5"/>
      <c r="D13" s="1" t="s">
        <v>33</v>
      </c>
      <c r="E13" s="1" t="str">
        <f>IFERROR(VLOOKUP(Purchasedata[[#This Row],[HSN Code]],Productsdata[#All],2,0),"")</f>
        <v>Laptop HP xyz i5</v>
      </c>
      <c r="F13" s="1" t="str">
        <f>IFERROR(VLOOKUP(Purchasedata[[#This Row],[HSN Code]],Vendorsdata[],3,0),"")</f>
        <v>Tech99</v>
      </c>
      <c r="G13" s="1">
        <v>45298</v>
      </c>
      <c r="H13" s="1">
        <v>30</v>
      </c>
      <c r="I13" s="1">
        <f>IFERROR(VLOOKUP(Purchasedata[[#This Row],[HSN Code]],Productsdata[#All],3,0),"")</f>
        <v>34500</v>
      </c>
      <c r="J13" s="1">
        <f>IFERROR(Purchasedata[[#This Row],[Units]]*Purchasedata[[#This Row],[Cost]],"")</f>
        <v>1035000</v>
      </c>
    </row>
    <row r="14" spans="2:10" x14ac:dyDescent="0.3">
      <c r="B14" s="5"/>
      <c r="D14" s="1" t="s">
        <v>35</v>
      </c>
      <c r="E14" s="1" t="str">
        <f>IFERROR(VLOOKUP(Purchasedata[[#This Row],[HSN Code]],Productsdata[#All],2,0),"")</f>
        <v>Wireless Printer</v>
      </c>
      <c r="F14" s="1" t="str">
        <f>IFERROR(VLOOKUP(Purchasedata[[#This Row],[HSN Code]],Vendorsdata[],3,0),"")</f>
        <v>Tech99</v>
      </c>
      <c r="G14" s="1">
        <v>45299</v>
      </c>
      <c r="H14" s="1">
        <v>40</v>
      </c>
      <c r="I14" s="1">
        <f>IFERROR(VLOOKUP(Purchasedata[[#This Row],[HSN Code]],Productsdata[#All],3,0),"")</f>
        <v>4600</v>
      </c>
      <c r="J14" s="1">
        <f>IFERROR(Purchasedata[[#This Row],[Units]]*Purchasedata[[#This Row],[Cost]],"")</f>
        <v>184000</v>
      </c>
    </row>
    <row r="15" spans="2:10" x14ac:dyDescent="0.3">
      <c r="B15" s="5"/>
      <c r="D15" s="1" t="s">
        <v>47</v>
      </c>
      <c r="E15" s="1" t="str">
        <f>IFERROR(VLOOKUP(Purchasedata[[#This Row],[HSN Code]],Productsdata[#All],2,0),"")</f>
        <v>Speakers</v>
      </c>
      <c r="F15" s="1" t="str">
        <f>IFERROR(VLOOKUP(Purchasedata[[#This Row],[HSN Code]],Vendorsdata[],3,0),"")</f>
        <v>Compac</v>
      </c>
      <c r="G15" s="1">
        <v>45300</v>
      </c>
      <c r="H15" s="1">
        <v>55</v>
      </c>
      <c r="I15" s="1">
        <f>IFERROR(VLOOKUP(Purchasedata[[#This Row],[HSN Code]],Productsdata[#All],3,0),"")</f>
        <v>670</v>
      </c>
      <c r="J15" s="1">
        <f>IFERROR(Purchasedata[[#This Row],[Units]]*Purchasedata[[#This Row],[Cost]],"")</f>
        <v>36850</v>
      </c>
    </row>
    <row r="16" spans="2:10" x14ac:dyDescent="0.3">
      <c r="B16" s="5"/>
      <c r="D16" s="1" t="s">
        <v>49</v>
      </c>
      <c r="E16" s="1" t="str">
        <f>IFERROR(VLOOKUP(Purchasedata[[#This Row],[HSN Code]],Productsdata[#All],2,0),"")</f>
        <v>Tablets</v>
      </c>
      <c r="F16" s="1" t="str">
        <f>IFERROR(VLOOKUP(Purchasedata[[#This Row],[HSN Code]],Vendorsdata[],3,0),"")</f>
        <v>Compac</v>
      </c>
      <c r="G16" s="1">
        <v>45301</v>
      </c>
      <c r="H16" s="1">
        <v>40</v>
      </c>
      <c r="I16" s="1">
        <f>IFERROR(VLOOKUP(Purchasedata[[#This Row],[HSN Code]],Productsdata[#All],3,0),"")</f>
        <v>23500</v>
      </c>
      <c r="J16" s="1">
        <f>IFERROR(Purchasedata[[#This Row],[Units]]*Purchasedata[[#This Row],[Cost]],"")</f>
        <v>940000</v>
      </c>
    </row>
    <row r="17" spans="2:10" x14ac:dyDescent="0.3">
      <c r="B17" s="5"/>
      <c r="D17" s="1" t="s">
        <v>45</v>
      </c>
      <c r="E17" s="1" t="str">
        <f>IFERROR(VLOOKUP(Purchasedata[[#This Row],[HSN Code]],Productsdata[#All],2,0),"")</f>
        <v>Headphones</v>
      </c>
      <c r="F17" s="1" t="str">
        <f>IFERROR(VLOOKUP(Purchasedata[[#This Row],[HSN Code]],Vendorsdata[],3,0),"")</f>
        <v>Compac</v>
      </c>
      <c r="G17" s="1">
        <v>45301</v>
      </c>
      <c r="H17" s="1">
        <v>35</v>
      </c>
      <c r="I17" s="1">
        <f>IFERROR(VLOOKUP(Purchasedata[[#This Row],[HSN Code]],Productsdata[#All],3,0),"")</f>
        <v>799</v>
      </c>
      <c r="J17" s="1">
        <f>IFERROR(Purchasedata[[#This Row],[Units]]*Purchasedata[[#This Row],[Cost]],"")</f>
        <v>27965</v>
      </c>
    </row>
    <row r="18" spans="2:10" x14ac:dyDescent="0.3">
      <c r="B18" s="5"/>
      <c r="D18" s="1" t="s">
        <v>43</v>
      </c>
      <c r="E18" s="1" t="str">
        <f>IFERROR(VLOOKUP(Purchasedata[[#This Row],[HSN Code]],Productsdata[#All],2,0),"")</f>
        <v>Camera</v>
      </c>
      <c r="F18" s="1" t="str">
        <f>IFERROR(VLOOKUP(Purchasedata[[#This Row],[HSN Code]],Vendorsdata[],3,0),"")</f>
        <v>GG Traders</v>
      </c>
      <c r="G18" s="1">
        <v>45301</v>
      </c>
      <c r="H18" s="1">
        <v>2</v>
      </c>
      <c r="I18" s="1">
        <f>IFERROR(VLOOKUP(Purchasedata[[#This Row],[HSN Code]],Productsdata[#All],3,0),"")</f>
        <v>52000</v>
      </c>
      <c r="J18" s="1">
        <f>IFERROR(Purchasedata[[#This Row],[Units]]*Purchasedata[[#This Row],[Cost]],"")</f>
        <v>104000</v>
      </c>
    </row>
    <row r="19" spans="2:10" x14ac:dyDescent="0.3">
      <c r="D19" s="1" t="s">
        <v>45</v>
      </c>
      <c r="E19" s="1" t="str">
        <f>IFERROR(VLOOKUP(Purchasedata[[#This Row],[HSN Code]],Productsdata[#All],2,0),"")</f>
        <v>Headphones</v>
      </c>
      <c r="F19" s="1" t="str">
        <f>IFERROR(VLOOKUP(Purchasedata[[#This Row],[HSN Code]],Vendorsdata[],3,0),"")</f>
        <v>Compac</v>
      </c>
      <c r="G19" s="1">
        <v>45301</v>
      </c>
      <c r="H19" s="1">
        <v>10</v>
      </c>
      <c r="I19" s="1">
        <f>IFERROR(VLOOKUP(Purchasedata[[#This Row],[HSN Code]],Productsdata[#All],3,0),"")</f>
        <v>799</v>
      </c>
      <c r="J19" s="1">
        <f>IFERROR(Purchasedata[[#This Row],[Units]]*Purchasedata[[#This Row],[Cost]],"")</f>
        <v>7990</v>
      </c>
    </row>
    <row r="20" spans="2:10" x14ac:dyDescent="0.3">
      <c r="E20" s="8" t="str">
        <f>IFERROR(VLOOKUP(Purchasedata[[#This Row],[HSN Code]],Productsdata[#All],2,0),"")</f>
        <v/>
      </c>
      <c r="F20" s="1" t="str">
        <f>IFERROR(VLOOKUP(Purchasedata[[#This Row],[HSN Code]],Vendorsdata[],3,0),"")</f>
        <v/>
      </c>
      <c r="I20" s="8"/>
      <c r="J20" s="8"/>
    </row>
  </sheetData>
  <phoneticPr fontId="3" type="noConversion"/>
  <dataValidations count="1">
    <dataValidation type="list" allowBlank="1" showInputMessage="1" showErrorMessage="1" sqref="L8:L19 D7" xr:uid="{55E59254-E254-498E-890A-6BA8F1CDD271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68E1-CC89-4C88-A159-82F8DF9C7A08}">
  <dimension ref="B1:L19"/>
  <sheetViews>
    <sheetView workbookViewId="0">
      <selection activeCell="D6" sqref="D6:L19"/>
    </sheetView>
  </sheetViews>
  <sheetFormatPr defaultRowHeight="14.4" x14ac:dyDescent="0.3"/>
  <cols>
    <col min="1" max="1" width="8.88671875" style="1"/>
    <col min="2" max="2" width="17.5546875" style="2" customWidth="1"/>
    <col min="3" max="3" width="5.5546875" style="1" customWidth="1"/>
    <col min="4" max="4" width="9.33203125" style="1" customWidth="1"/>
    <col min="5" max="5" width="12.5546875" style="1" customWidth="1"/>
    <col min="6" max="6" width="11.21875" style="1" customWidth="1"/>
    <col min="7" max="7" width="15" style="1" customWidth="1"/>
    <col min="8" max="8" width="10.33203125" style="1" bestFit="1" customWidth="1"/>
    <col min="9" max="9" width="13.21875" style="1" customWidth="1"/>
    <col min="10" max="11" width="8.88671875" style="1"/>
    <col min="12" max="12" width="9.77734375" style="1" customWidth="1"/>
    <col min="13" max="16384" width="8.88671875" style="1"/>
  </cols>
  <sheetData>
    <row r="1" spans="2:12" x14ac:dyDescent="0.3">
      <c r="B1" s="1"/>
    </row>
    <row r="6" spans="2:12" x14ac:dyDescent="0.3">
      <c r="D6" s="1" t="s">
        <v>2</v>
      </c>
      <c r="E6" s="1" t="s">
        <v>71</v>
      </c>
      <c r="F6" s="1" t="s">
        <v>27</v>
      </c>
      <c r="G6" s="1" t="s">
        <v>28</v>
      </c>
      <c r="H6" s="1" t="s">
        <v>68</v>
      </c>
      <c r="I6" s="1" t="s">
        <v>72</v>
      </c>
      <c r="J6" s="1" t="s">
        <v>69</v>
      </c>
      <c r="K6" s="1" t="s">
        <v>73</v>
      </c>
      <c r="L6" s="1" t="s">
        <v>70</v>
      </c>
    </row>
    <row r="7" spans="2:12" x14ac:dyDescent="0.3">
      <c r="D7" s="6">
        <v>103</v>
      </c>
      <c r="E7" s="1" t="str">
        <f>IFERROR(VLOOKUP(Salesdata[[#This Row],[Cust_ID]],Customersdata[#All],2,0),"")</f>
        <v>99store</v>
      </c>
      <c r="F7" s="1" t="s">
        <v>45</v>
      </c>
      <c r="G7" s="1" t="s">
        <v>46</v>
      </c>
      <c r="H7" s="9">
        <v>45292</v>
      </c>
      <c r="I7" s="1">
        <f>IFERROR(VLOOKUP(Salesdata[[#This Row],[HSN Code]],Table9[#All],6,0),"")</f>
        <v>13</v>
      </c>
      <c r="J7" s="1">
        <v>10</v>
      </c>
      <c r="K7" s="1">
        <v>958.8</v>
      </c>
      <c r="L7" s="1">
        <f>IFERROR(Salesdata[[#This Row],[Units]]*Salesdata[[#This Row],[Price]],"")</f>
        <v>9588</v>
      </c>
    </row>
    <row r="8" spans="2:12" x14ac:dyDescent="0.3">
      <c r="D8" s="6">
        <v>104</v>
      </c>
      <c r="E8" s="1" t="str">
        <f>IFERROR(VLOOKUP(Salesdata[[#This Row],[Cust_ID]],Customersdata[#All],2,0),"")</f>
        <v>Rajesh Kumar</v>
      </c>
      <c r="F8" s="1" t="s">
        <v>41</v>
      </c>
      <c r="G8" s="1" t="s">
        <v>42</v>
      </c>
      <c r="H8" s="9">
        <v>45293</v>
      </c>
      <c r="I8" s="1">
        <f>IFERROR(VLOOKUP(Salesdata[[#This Row],[HSN Code]],Table9[#All],6,0),"")</f>
        <v>13</v>
      </c>
      <c r="J8" s="1">
        <v>37</v>
      </c>
      <c r="K8" s="1">
        <v>408</v>
      </c>
      <c r="L8" s="1">
        <f>IFERROR(Salesdata[[#This Row],[Units]]*Salesdata[[#This Row],[Price]],"")</f>
        <v>15096</v>
      </c>
    </row>
    <row r="9" spans="2:12" x14ac:dyDescent="0.3">
      <c r="D9" s="6">
        <v>101</v>
      </c>
      <c r="E9" s="1" t="str">
        <f>IFERROR(VLOOKUP(Salesdata[[#This Row],[Cust_ID]],Customersdata[#All],2,0),"")</f>
        <v>Atul Ltd.</v>
      </c>
      <c r="F9" s="1" t="s">
        <v>37</v>
      </c>
      <c r="G9" s="1" t="s">
        <v>38</v>
      </c>
      <c r="H9" s="9">
        <v>45294</v>
      </c>
      <c r="I9" s="1">
        <f>IFERROR(VLOOKUP(Salesdata[[#This Row],[HSN Code]],Table9[#All],6,0),"")</f>
        <v>35</v>
      </c>
      <c r="J9" s="1">
        <v>10</v>
      </c>
      <c r="K9" s="1">
        <v>25200</v>
      </c>
      <c r="L9" s="1">
        <f>IFERROR(Salesdata[[#This Row],[Units]]*Salesdata[[#This Row],[Price]],"")</f>
        <v>252000</v>
      </c>
    </row>
    <row r="10" spans="2:12" x14ac:dyDescent="0.3">
      <c r="D10" s="6">
        <v>100</v>
      </c>
      <c r="E10" s="1" t="str">
        <f>IFERROR(VLOOKUP(Salesdata[[#This Row],[Cust_ID]],Customersdata[#All],2,0),"")</f>
        <v>Ram sales</v>
      </c>
      <c r="F10" s="1" t="s">
        <v>45</v>
      </c>
      <c r="G10" s="1" t="s">
        <v>46</v>
      </c>
      <c r="H10" s="9">
        <v>45295</v>
      </c>
      <c r="I10" s="1">
        <f>IFERROR(VLOOKUP(Salesdata[[#This Row],[HSN Code]],Table9[#All],6,0),"")</f>
        <v>13</v>
      </c>
      <c r="J10" s="1">
        <v>32</v>
      </c>
      <c r="K10" s="1">
        <v>958.8</v>
      </c>
      <c r="L10" s="1">
        <f>IFERROR(Salesdata[[#This Row],[Units]]*Salesdata[[#This Row],[Price]],"")</f>
        <v>30681.599999999999</v>
      </c>
    </row>
    <row r="11" spans="2:12" x14ac:dyDescent="0.3">
      <c r="B11" s="3"/>
      <c r="D11" s="6">
        <v>102</v>
      </c>
      <c r="E11" s="1" t="str">
        <f>IFERROR(VLOOKUP(Salesdata[[#This Row],[Cust_ID]],Customersdata[#All],2,0),"")</f>
        <v>MK Tech.</v>
      </c>
      <c r="F11" s="1" t="s">
        <v>33</v>
      </c>
      <c r="G11" s="1" t="s">
        <v>34</v>
      </c>
      <c r="H11" s="9">
        <v>45296</v>
      </c>
      <c r="I11" s="1">
        <f>IFERROR(VLOOKUP(Salesdata[[#This Row],[HSN Code]],Table9[#All],6,0),"")</f>
        <v>3</v>
      </c>
      <c r="J11" s="1">
        <v>27</v>
      </c>
      <c r="K11" s="1">
        <v>41400</v>
      </c>
      <c r="L11" s="1">
        <f>IFERROR(Salesdata[[#This Row],[Units]]*Salesdata[[#This Row],[Price]],"")</f>
        <v>1117800</v>
      </c>
    </row>
    <row r="12" spans="2:12" x14ac:dyDescent="0.3">
      <c r="B12" s="5"/>
      <c r="D12" s="6">
        <v>103</v>
      </c>
      <c r="E12" s="1" t="str">
        <f>IFERROR(VLOOKUP(Salesdata[[#This Row],[Cust_ID]],Customersdata[#All],2,0),"")</f>
        <v>99store</v>
      </c>
      <c r="F12" s="1" t="s">
        <v>37</v>
      </c>
      <c r="G12" s="1" t="s">
        <v>38</v>
      </c>
      <c r="H12" s="9">
        <v>45297</v>
      </c>
      <c r="I12" s="1">
        <f>IFERROR(VLOOKUP(Salesdata[[#This Row],[HSN Code]],Table9[#All],6,0),"")</f>
        <v>35</v>
      </c>
      <c r="J12" s="1">
        <v>55</v>
      </c>
      <c r="K12" s="1">
        <v>25200</v>
      </c>
      <c r="L12" s="1">
        <f>IFERROR(Salesdata[[#This Row],[Units]]*Salesdata[[#This Row],[Price]],"")</f>
        <v>1386000</v>
      </c>
    </row>
    <row r="13" spans="2:12" x14ac:dyDescent="0.3">
      <c r="B13" s="5"/>
      <c r="D13" s="6">
        <v>105</v>
      </c>
      <c r="E13" s="1" t="str">
        <f>IFERROR(VLOOKUP(Salesdata[[#This Row],[Cust_ID]],Customersdata[#All],2,0),"")</f>
        <v xml:space="preserve">Amit </v>
      </c>
      <c r="F13" s="1" t="s">
        <v>49</v>
      </c>
      <c r="G13" s="1" t="s">
        <v>50</v>
      </c>
      <c r="H13" s="9">
        <v>45298</v>
      </c>
      <c r="I13" s="1">
        <f>IFERROR(VLOOKUP(Salesdata[[#This Row],[HSN Code]],Table9[#All],6,0),"")</f>
        <v>3</v>
      </c>
      <c r="J13" s="1">
        <v>33</v>
      </c>
      <c r="K13" s="1">
        <v>28200</v>
      </c>
      <c r="L13" s="1">
        <f>IFERROR(Salesdata[[#This Row],[Units]]*Salesdata[[#This Row],[Price]],"")</f>
        <v>930600</v>
      </c>
    </row>
    <row r="14" spans="2:12" x14ac:dyDescent="0.3">
      <c r="B14" s="5"/>
      <c r="D14" s="6">
        <v>106</v>
      </c>
      <c r="E14" s="1" t="str">
        <f>IFERROR(VLOOKUP(Salesdata[[#This Row],[Cust_ID]],Customersdata[#All],2,0),"")</f>
        <v>Jain Tel.</v>
      </c>
      <c r="F14" s="1" t="s">
        <v>47</v>
      </c>
      <c r="G14" s="1" t="s">
        <v>48</v>
      </c>
      <c r="H14" s="9">
        <v>45299</v>
      </c>
      <c r="I14" s="1">
        <f>IFERROR(VLOOKUP(Salesdata[[#This Row],[HSN Code]],Table9[#All],6,0),"")</f>
        <v>3</v>
      </c>
      <c r="J14" s="1">
        <v>52</v>
      </c>
      <c r="K14" s="1">
        <v>804</v>
      </c>
      <c r="L14" s="1">
        <f>IFERROR(Salesdata[[#This Row],[Units]]*Salesdata[[#This Row],[Price]],"")</f>
        <v>41808</v>
      </c>
    </row>
    <row r="15" spans="2:12" x14ac:dyDescent="0.3">
      <c r="B15" s="5"/>
      <c r="D15" s="6">
        <v>104</v>
      </c>
      <c r="E15" s="1" t="str">
        <f>IFERROR(VLOOKUP(Salesdata[[#This Row],[Cust_ID]],Customersdata[#All],2,0),"")</f>
        <v>Rajesh Kumar</v>
      </c>
      <c r="F15" s="1" t="s">
        <v>49</v>
      </c>
      <c r="G15" s="1" t="s">
        <v>50</v>
      </c>
      <c r="H15" s="9">
        <v>45299</v>
      </c>
      <c r="I15" s="1">
        <f>IFERROR(VLOOKUP(Salesdata[[#This Row],[HSN Code]],Table9[#All],6,0),"")</f>
        <v>3</v>
      </c>
      <c r="J15" s="1">
        <v>4</v>
      </c>
      <c r="K15" s="1">
        <v>28200</v>
      </c>
      <c r="L15" s="1">
        <f>IFERROR(Salesdata[[#This Row],[Units]]*Salesdata[[#This Row],[Price]],"")</f>
        <v>112800</v>
      </c>
    </row>
    <row r="16" spans="2:12" x14ac:dyDescent="0.3">
      <c r="B16" s="5"/>
      <c r="D16" s="6">
        <v>103</v>
      </c>
      <c r="E16" s="1" t="str">
        <f>IFERROR(VLOOKUP(Salesdata[[#This Row],[Cust_ID]],Customersdata[#All],2,0),"")</f>
        <v>99store</v>
      </c>
      <c r="F16" s="1" t="s">
        <v>31</v>
      </c>
      <c r="G16" s="1" t="s">
        <v>32</v>
      </c>
      <c r="H16" s="9">
        <v>45299</v>
      </c>
      <c r="I16" s="1">
        <f>IFERROR(VLOOKUP(Salesdata[[#This Row],[HSN Code]],Table9[#All],6,0),"")</f>
        <v>3</v>
      </c>
      <c r="J16" s="1">
        <v>37</v>
      </c>
      <c r="K16" s="1">
        <v>1176</v>
      </c>
      <c r="L16" s="1">
        <f>IFERROR(Salesdata[[#This Row],[Units]]*Salesdata[[#This Row],[Price]],"")</f>
        <v>43512</v>
      </c>
    </row>
    <row r="17" spans="2:12" x14ac:dyDescent="0.3">
      <c r="B17" s="5"/>
      <c r="D17" s="6">
        <v>104</v>
      </c>
      <c r="E17" s="1" t="str">
        <f>IFERROR(VLOOKUP(Salesdata[[#This Row],[Cust_ID]],Customersdata[#All],2,0),"")</f>
        <v>Rajesh Kumar</v>
      </c>
      <c r="F17" s="1" t="s">
        <v>43</v>
      </c>
      <c r="G17" s="1" t="s">
        <v>44</v>
      </c>
      <c r="H17" s="9">
        <v>45299</v>
      </c>
      <c r="I17" s="1">
        <f>IFERROR(VLOOKUP(Salesdata[[#This Row],[HSN Code]],Table9[#All],6,0),"")</f>
        <v>14</v>
      </c>
      <c r="J17" s="1">
        <v>4</v>
      </c>
      <c r="K17" s="1">
        <v>62400</v>
      </c>
      <c r="L17" s="1">
        <f>IFERROR(Salesdata[[#This Row],[Units]]*Salesdata[[#This Row],[Price]],"")</f>
        <v>249600</v>
      </c>
    </row>
    <row r="18" spans="2:12" x14ac:dyDescent="0.3">
      <c r="B18" s="5"/>
      <c r="D18" s="6">
        <v>105</v>
      </c>
      <c r="E18" s="1" t="str">
        <f>IFERROR(VLOOKUP(Salesdata[[#This Row],[Cust_ID]],Customersdata[#All],2,0),"")</f>
        <v xml:space="preserve">Amit </v>
      </c>
      <c r="F18" s="1" t="s">
        <v>43</v>
      </c>
      <c r="G18" s="1" t="s">
        <v>44</v>
      </c>
      <c r="H18" s="9">
        <v>45299</v>
      </c>
      <c r="I18" s="1">
        <f>IFERROR(VLOOKUP(Salesdata[[#This Row],[HSN Code]],Table9[#All],6,0),"")</f>
        <v>14</v>
      </c>
      <c r="J18" s="1">
        <v>4</v>
      </c>
      <c r="K18" s="1">
        <v>62400</v>
      </c>
      <c r="L18" s="1">
        <f>IFERROR(Salesdata[[#This Row],[Units]]*Salesdata[[#This Row],[Price]],"")</f>
        <v>249600</v>
      </c>
    </row>
    <row r="19" spans="2:12" x14ac:dyDescent="0.3">
      <c r="D19" s="6">
        <v>104</v>
      </c>
      <c r="E19" s="1" t="str">
        <f>IFERROR(VLOOKUP(Salesdata[[#This Row],[Cust_ID]],Customersdata[#All],2,0),"")</f>
        <v>Rajesh Kumar</v>
      </c>
      <c r="F19" s="1" t="s">
        <v>35</v>
      </c>
      <c r="G19" s="1" t="s">
        <v>36</v>
      </c>
      <c r="H19" s="9">
        <v>45299</v>
      </c>
      <c r="I19" s="1">
        <f>IFERROR(VLOOKUP(Salesdata[[#This Row],[HSN Code]],Table9[#All],6,0),"")</f>
        <v>35</v>
      </c>
      <c r="J19" s="1">
        <v>5</v>
      </c>
      <c r="K19" s="1">
        <v>5520</v>
      </c>
      <c r="L19" s="1">
        <f>IFERROR(Salesdata[[#This Row],[Units]]*Salesdata[[#This Row],[Price]],"")</f>
        <v>27600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BD9B-8893-4DE2-8586-3E4E7005FB5C}">
  <dimension ref="B1:K18"/>
  <sheetViews>
    <sheetView showRowColHeaders="0" workbookViewId="0">
      <selection activeCell="R21" sqref="R21"/>
    </sheetView>
  </sheetViews>
  <sheetFormatPr defaultRowHeight="14.4" x14ac:dyDescent="0.3"/>
  <cols>
    <col min="1" max="1" width="8.88671875" style="1"/>
    <col min="2" max="2" width="17.5546875" style="2" customWidth="1"/>
    <col min="3" max="3" width="5.6640625" style="1" customWidth="1"/>
    <col min="4" max="4" width="11.21875" style="1" customWidth="1"/>
    <col min="5" max="5" width="15" style="1" customWidth="1"/>
    <col min="6" max="6" width="7.6640625" style="1" customWidth="1"/>
    <col min="7" max="7" width="11.109375" style="1" customWidth="1"/>
    <col min="8" max="9" width="8.88671875" style="1"/>
    <col min="10" max="10" width="12" style="1" customWidth="1"/>
    <col min="11" max="11" width="13.109375" style="1" bestFit="1" customWidth="1"/>
    <col min="12" max="16384" width="8.88671875" style="1"/>
  </cols>
  <sheetData>
    <row r="1" spans="2:11" x14ac:dyDescent="0.3">
      <c r="B1" s="1"/>
    </row>
    <row r="6" spans="2:11" x14ac:dyDescent="0.3">
      <c r="D6" s="1" t="s">
        <v>27</v>
      </c>
      <c r="E6" s="1" t="s">
        <v>28</v>
      </c>
      <c r="F6" s="1" t="s">
        <v>29</v>
      </c>
      <c r="G6" s="1" t="s">
        <v>74</v>
      </c>
      <c r="H6" s="1" t="s">
        <v>75</v>
      </c>
      <c r="I6" s="1" t="s">
        <v>76</v>
      </c>
      <c r="J6" s="1" t="s">
        <v>79</v>
      </c>
      <c r="K6" s="1" t="s">
        <v>92</v>
      </c>
    </row>
    <row r="7" spans="2:11" x14ac:dyDescent="0.3">
      <c r="D7" s="1" t="str">
        <f>IFERROR(Productsdata[[#This Row],[HSN Code]],"")</f>
        <v>N1001</v>
      </c>
      <c r="E7" s="1" t="str">
        <f>IFERROR(Productsdata[[#This Row],[Product Name]],"")</f>
        <v>Smart Watch</v>
      </c>
      <c r="F7" s="1">
        <f>IFERROR(Productsdata[[#This Row],[Cost]],"")</f>
        <v>980</v>
      </c>
      <c r="G7" s="1">
        <f>SUMIF(Purchasedata[Product Name],Table9[[#This Row],[Product Name]],Purchasedata[Units])</f>
        <v>40</v>
      </c>
      <c r="H7" s="1">
        <f>SUMIF(Salesdata[Product Name],Table9[[#This Row],[Product Name]],Salesdata[Units])</f>
        <v>37</v>
      </c>
      <c r="I7" s="1">
        <f>Table9[[#This Row],[P Units]]-Table9[[#This Row],[S Units]]</f>
        <v>3</v>
      </c>
      <c r="J7" s="1">
        <f>IFERROR(Table9[[#This Row],[Cost]]*Table9[[#This Row],[Stock]],"")</f>
        <v>2940</v>
      </c>
      <c r="K7" s="8" t="str">
        <f>IFERROR(IF(Table9[[#This Row],[Stock]]&lt;5,"📞 "&amp;Table9[[#This Row],[Product Name]]&amp;" Needs to re-order ! PH "&amp;VLOOKUP(Table9[[#This Row],[HSN Code]],Vendorsdata[#All],4,0),""),"")</f>
        <v>📞 Smart Watch Needs to re-order ! PH 9812xxxxxx</v>
      </c>
    </row>
    <row r="8" spans="2:11" x14ac:dyDescent="0.3">
      <c r="D8" s="1" t="str">
        <f>IFERROR(Productsdata[[#This Row],[HSN Code]],"")</f>
        <v>N1002</v>
      </c>
      <c r="E8" s="1" t="str">
        <f>IFERROR(Productsdata[[#This Row],[Product Name]],"")</f>
        <v>Laptop HP xyz i5</v>
      </c>
      <c r="F8" s="1">
        <f>IFERROR(Productsdata[[#This Row],[Cost]],"")</f>
        <v>34500</v>
      </c>
      <c r="G8" s="1">
        <f>SUMIF(Purchasedata[Product Name],Table9[[#This Row],[Product Name]],Purchasedata[Units])</f>
        <v>30</v>
      </c>
      <c r="H8" s="1">
        <f>SUMIF(Salesdata[Product Name],Table9[[#This Row],[Product Name]],Salesdata[Units])</f>
        <v>27</v>
      </c>
      <c r="I8" s="1">
        <f>Table9[[#This Row],[P Units]]-Table9[[#This Row],[S Units]]</f>
        <v>3</v>
      </c>
      <c r="J8" s="1">
        <f>IFERROR(Table9[[#This Row],[Cost]]*Table9[[#This Row],[Stock]],"")</f>
        <v>103500</v>
      </c>
      <c r="K8" s="8" t="str">
        <f>IF(Table9[[#This Row],[Stock]]&lt;5,"📞 "&amp;Table9[[#This Row],[Product Name]]&amp;" Needs to re-order ! PH "&amp;VLOOKUP(Table9[[#This Row],[HSN Code]],Vendorsdata[#All],4,0),"")</f>
        <v>📞 Laptop HP xyz i5 Needs to re-order ! PH 9812xxxxxx</v>
      </c>
    </row>
    <row r="9" spans="2:11" x14ac:dyDescent="0.3">
      <c r="D9" s="1" t="str">
        <f>IFERROR(Productsdata[[#This Row],[HSN Code]],"")</f>
        <v>N1003</v>
      </c>
      <c r="E9" s="1" t="str">
        <f>IFERROR(Productsdata[[#This Row],[Product Name]],"")</f>
        <v>Wireless Printer</v>
      </c>
      <c r="F9" s="1">
        <f>IFERROR(Productsdata[[#This Row],[Cost]],"")</f>
        <v>4600</v>
      </c>
      <c r="G9" s="1">
        <f>SUMIF(Purchasedata[Product Name],Table9[[#This Row],[Product Name]],Purchasedata[Units])</f>
        <v>40</v>
      </c>
      <c r="H9" s="1">
        <f>SUMIF(Salesdata[Product Name],Table9[[#This Row],[Product Name]],Salesdata[Units])</f>
        <v>5</v>
      </c>
      <c r="I9" s="1">
        <v>35</v>
      </c>
      <c r="J9" s="1">
        <f>IFERROR(Table9[[#This Row],[Cost]]*Table9[[#This Row],[Stock]],"")</f>
        <v>161000</v>
      </c>
      <c r="K9" s="8"/>
    </row>
    <row r="10" spans="2:11" x14ac:dyDescent="0.3">
      <c r="D10" s="1" t="str">
        <f>IFERROR(Productsdata[[#This Row],[HSN Code]],"")</f>
        <v>N1004</v>
      </c>
      <c r="E10" s="1" t="str">
        <f>IFERROR(Productsdata[[#This Row],[Product Name]],"")</f>
        <v>Desktop</v>
      </c>
      <c r="F10" s="1">
        <f>IFERROR(Productsdata[[#This Row],[Cost]],"")</f>
        <v>21000</v>
      </c>
      <c r="G10" s="1">
        <f>SUMIF(Purchasedata[Product Name],Table9[[#This Row],[Product Name]],Purchasedata[Units])</f>
        <v>100</v>
      </c>
      <c r="H10" s="1">
        <f>SUMIF(Salesdata[Product Name],Table9[[#This Row],[Product Name]],Salesdata[Units])</f>
        <v>65</v>
      </c>
      <c r="I10" s="1">
        <f>Table9[[#This Row],[P Units]]-Table9[[#This Row],[S Units]]</f>
        <v>35</v>
      </c>
      <c r="J10" s="1">
        <f>IFERROR(Table9[[#This Row],[Cost]]*Table9[[#This Row],[Stock]],"")</f>
        <v>735000</v>
      </c>
      <c r="K10" s="8" t="str">
        <f>IF(Table9[[#This Row],[Stock]]&lt;5,"📞 "&amp;Table9[[#This Row],[Product Name]]&amp;" Needs to re-order ! PH "&amp;VLOOKUP(Table9[[#This Row],[HSN Code]],Vendorsdata[#All],4,0),"")</f>
        <v/>
      </c>
    </row>
    <row r="11" spans="2:11" x14ac:dyDescent="0.3">
      <c r="B11" s="3"/>
      <c r="D11" s="1" t="str">
        <f>IFERROR(Productsdata[[#This Row],[HSN Code]],"")</f>
        <v>N1005</v>
      </c>
      <c r="E11" s="1" t="str">
        <f>IFERROR(Productsdata[[#This Row],[Product Name]],"")</f>
        <v>Mouse</v>
      </c>
      <c r="F11" s="1">
        <f>IFERROR(Productsdata[[#This Row],[Cost]],"")</f>
        <v>200</v>
      </c>
      <c r="G11" s="1">
        <f>SUMIF(Purchasedata[Product Name],Table9[[#This Row],[Product Name]],Purchasedata[Units])</f>
        <v>20</v>
      </c>
      <c r="H11" s="1">
        <f>SUMIF(Salesdata[Product Name],Table9[[#This Row],[Product Name]],Salesdata[Units])</f>
        <v>0</v>
      </c>
      <c r="I11" s="1">
        <f>Table9[[#This Row],[P Units]]-Table9[[#This Row],[S Units]]</f>
        <v>20</v>
      </c>
      <c r="J11" s="1">
        <f>IFERROR(Table9[[#This Row],[Cost]]*Table9[[#This Row],[Stock]],"")</f>
        <v>4000</v>
      </c>
      <c r="K11" s="8" t="str">
        <f>IF(Table9[[#This Row],[Stock]]&lt;5,"📞 "&amp;Table9[[#This Row],[Product Name]]&amp;" Needs to re-order ! PH "&amp;VLOOKUP(Table9[[#This Row],[HSN Code]],Vendorsdata[#All],4,0),"")</f>
        <v/>
      </c>
    </row>
    <row r="12" spans="2:11" x14ac:dyDescent="0.3">
      <c r="B12" s="5"/>
      <c r="D12" s="1" t="str">
        <f>IFERROR(Productsdata[[#This Row],[HSN Code]],"")</f>
        <v>N1006</v>
      </c>
      <c r="E12" s="1" t="str">
        <f>IFERROR(Productsdata[[#This Row],[Product Name]],"")</f>
        <v>Rgb Keyboard</v>
      </c>
      <c r="F12" s="1">
        <f>IFERROR(Productsdata[[#This Row],[Cost]],"")</f>
        <v>340</v>
      </c>
      <c r="G12" s="1">
        <f>SUMIF(Purchasedata[Product Name],Table9[[#This Row],[Product Name]],Purchasedata[Units])</f>
        <v>50</v>
      </c>
      <c r="H12" s="1">
        <f>SUMIF(Salesdata[Product Name],Table9[[#This Row],[Product Name]],Salesdata[Units])</f>
        <v>37</v>
      </c>
      <c r="I12" s="1">
        <f>Table9[[#This Row],[P Units]]-Table9[[#This Row],[S Units]]</f>
        <v>13</v>
      </c>
      <c r="J12" s="1">
        <f>IFERROR(Table9[[#This Row],[Cost]]*Table9[[#This Row],[Stock]],"")</f>
        <v>4420</v>
      </c>
      <c r="K12" s="8" t="str">
        <f>IF(Table9[[#This Row],[Stock]]&lt;5,"📞 "&amp;Table9[[#This Row],[Product Name]]&amp;" Needs to re-order ! PH "&amp;VLOOKUP(Table9[[#This Row],[HSN Code]],Vendorsdata[#All],4,0),"")</f>
        <v/>
      </c>
    </row>
    <row r="13" spans="2:11" x14ac:dyDescent="0.3">
      <c r="B13" s="5"/>
      <c r="D13" s="1" t="str">
        <f>IFERROR(Productsdata[[#This Row],[HSN Code]],"")</f>
        <v>N1007</v>
      </c>
      <c r="E13" s="1" t="str">
        <f>IFERROR(Productsdata[[#This Row],[Product Name]],"")</f>
        <v>Camera</v>
      </c>
      <c r="F13" s="1">
        <f>IFERROR(Productsdata[[#This Row],[Cost]],"")</f>
        <v>52000</v>
      </c>
      <c r="G13" s="1">
        <f>SUMIF(Purchasedata[Product Name],Table9[[#This Row],[Product Name]],Purchasedata[Units])</f>
        <v>22</v>
      </c>
      <c r="H13" s="1">
        <f>SUMIF(Salesdata[Product Name],Table9[[#This Row],[Product Name]],Salesdata[Units])</f>
        <v>8</v>
      </c>
      <c r="I13" s="1">
        <f>Table9[[#This Row],[P Units]]-Table9[[#This Row],[S Units]]</f>
        <v>14</v>
      </c>
      <c r="J13" s="1">
        <f>IFERROR(Table9[[#This Row],[Cost]]*Table9[[#This Row],[Stock]],"")</f>
        <v>728000</v>
      </c>
      <c r="K13" s="8" t="str">
        <f>IF(Table9[[#This Row],[Stock]]&lt;5,"📞 "&amp;Table9[[#This Row],[Product Name]]&amp;" Needs to re-order ! PH "&amp;VLOOKUP(Table9[[#This Row],[HSN Code]],Vendorsdata[#All],4,0),"")</f>
        <v/>
      </c>
    </row>
    <row r="14" spans="2:11" x14ac:dyDescent="0.3">
      <c r="B14" s="5"/>
      <c r="D14" s="1" t="str">
        <f>IFERROR(Productsdata[[#This Row],[HSN Code]],"")</f>
        <v>N1008</v>
      </c>
      <c r="E14" s="1" t="str">
        <f>IFERROR(Productsdata[[#This Row],[Product Name]],"")</f>
        <v>Headphones</v>
      </c>
      <c r="F14" s="1">
        <f>IFERROR(Productsdata[[#This Row],[Cost]],"")</f>
        <v>799</v>
      </c>
      <c r="G14" s="1">
        <f>SUMIF(Purchasedata[Product Name],Table9[[#This Row],[Product Name]],Purchasedata[Units])</f>
        <v>55</v>
      </c>
      <c r="H14" s="1">
        <f>SUMIF(Salesdata[Product Name],Table9[[#This Row],[Product Name]],Salesdata[Units])</f>
        <v>42</v>
      </c>
      <c r="I14" s="1">
        <f>Table9[[#This Row],[P Units]]-Table9[[#This Row],[S Units]]</f>
        <v>13</v>
      </c>
      <c r="J14" s="1">
        <f>IFERROR(Table9[[#This Row],[Cost]]*Table9[[#This Row],[Stock]],"")</f>
        <v>10387</v>
      </c>
      <c r="K14" s="8" t="str">
        <f>IF(Table9[[#This Row],[Stock]]&lt;5,"📞 "&amp;Table9[[#This Row],[Product Name]]&amp;" Needs to re-order ! PH "&amp;VLOOKUP(Table9[[#This Row],[HSN Code]],Vendorsdata[#All],4,0),"")</f>
        <v/>
      </c>
    </row>
    <row r="15" spans="2:11" x14ac:dyDescent="0.3">
      <c r="B15" s="5"/>
      <c r="D15" s="1" t="str">
        <f>IFERROR(Productsdata[[#This Row],[HSN Code]],"")</f>
        <v>N1009</v>
      </c>
      <c r="E15" s="1" t="str">
        <f>IFERROR(Productsdata[[#This Row],[Product Name]],"")</f>
        <v>Speakers</v>
      </c>
      <c r="F15" s="1">
        <f>IFERROR(Productsdata[[#This Row],[Cost]],"")</f>
        <v>670</v>
      </c>
      <c r="G15" s="1">
        <f>SUMIF(Purchasedata[Product Name],Table9[[#This Row],[Product Name]],Purchasedata[Units])</f>
        <v>55</v>
      </c>
      <c r="H15" s="1">
        <f>SUMIF(Salesdata[Product Name],Table9[[#This Row],[Product Name]],Salesdata[Units])</f>
        <v>52</v>
      </c>
      <c r="I15" s="1">
        <f>Table9[[#This Row],[P Units]]-Table9[[#This Row],[S Units]]</f>
        <v>3</v>
      </c>
      <c r="J15" s="1">
        <f>IFERROR(Table9[[#This Row],[Cost]]*Table9[[#This Row],[Stock]],"")</f>
        <v>2010</v>
      </c>
      <c r="K15" s="8" t="str">
        <f>IF(Table9[[#This Row],[Stock]]&lt;5,"📞 "&amp;Table9[[#This Row],[Product Name]]&amp;" Needs to re-order ! PH "&amp;VLOOKUP(Table9[[#This Row],[HSN Code]],Vendorsdata[#All],4,0),"")</f>
        <v>📞 Speakers Needs to re-order ! PH 9814xxxxxx</v>
      </c>
    </row>
    <row r="16" spans="2:11" x14ac:dyDescent="0.3">
      <c r="B16" s="5"/>
      <c r="D16" s="1" t="str">
        <f>IFERROR(Productsdata[[#This Row],[HSN Code]],"")</f>
        <v>N1010</v>
      </c>
      <c r="E16" s="1" t="str">
        <f>IFERROR(Productsdata[[#This Row],[Product Name]],"")</f>
        <v>Tablets</v>
      </c>
      <c r="F16" s="1">
        <f>IFERROR(Productsdata[[#This Row],[Cost]],"")</f>
        <v>23500</v>
      </c>
      <c r="G16" s="1">
        <f>SUMIF(Purchasedata[Product Name],Table9[[#This Row],[Product Name]],Purchasedata[Units])</f>
        <v>40</v>
      </c>
      <c r="H16" s="1">
        <f>SUMIF(Salesdata[Product Name],Table9[[#This Row],[Product Name]],Salesdata[Units])</f>
        <v>37</v>
      </c>
      <c r="I16" s="1">
        <f>Table9[[#This Row],[P Units]]-Table9[[#This Row],[S Units]]</f>
        <v>3</v>
      </c>
      <c r="J16" s="1">
        <f>IFERROR(Table9[[#This Row],[Cost]]*Table9[[#This Row],[Stock]],"")</f>
        <v>70500</v>
      </c>
      <c r="K16" s="8" t="str">
        <f>IF(Table9[[#This Row],[Stock]]&lt;5,"📞 "&amp;Table9[[#This Row],[Product Name]]&amp;" Needs to re-order ! PH "&amp;VLOOKUP(Table9[[#This Row],[HSN Code]],Vendorsdata[#All],4,0),"")</f>
        <v>📞 Tablets Needs to re-order ! PH 9814xxxxxx</v>
      </c>
    </row>
    <row r="17" spans="2:2" x14ac:dyDescent="0.3">
      <c r="B17" s="5"/>
    </row>
    <row r="18" spans="2:2" x14ac:dyDescent="0.3">
      <c r="B18" s="5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6A57-8AA7-4CD2-9257-F9ED3A32046C}">
  <dimension ref="A3:F33"/>
  <sheetViews>
    <sheetView workbookViewId="0">
      <selection activeCell="A4" sqref="A4"/>
    </sheetView>
  </sheetViews>
  <sheetFormatPr defaultRowHeight="14.4" x14ac:dyDescent="0.3"/>
  <cols>
    <col min="1" max="1" width="13.88671875" bestFit="1" customWidth="1"/>
    <col min="2" max="2" width="12.109375" bestFit="1" customWidth="1"/>
    <col min="3" max="3" width="15.33203125" bestFit="1" customWidth="1"/>
    <col min="5" max="5" width="12.5546875" bestFit="1" customWidth="1"/>
    <col min="6" max="6" width="13.33203125" bestFit="1" customWidth="1"/>
    <col min="7" max="7" width="7.88671875" bestFit="1" customWidth="1"/>
    <col min="8" max="8" width="11.5546875" bestFit="1" customWidth="1"/>
    <col min="9" max="9" width="14.77734375" bestFit="1" customWidth="1"/>
    <col min="10" max="10" width="6.77734375" bestFit="1" customWidth="1"/>
    <col min="11" max="11" width="12.77734375" bestFit="1" customWidth="1"/>
    <col min="12" max="12" width="11.88671875" bestFit="1" customWidth="1"/>
    <col min="13" max="13" width="8.5546875" bestFit="1" customWidth="1"/>
    <col min="14" max="14" width="7" bestFit="1" customWidth="1"/>
    <col min="15" max="15" width="14.109375" bestFit="1" customWidth="1"/>
    <col min="16" max="16" width="10.77734375" bestFit="1" customWidth="1"/>
  </cols>
  <sheetData>
    <row r="3" spans="1:6" x14ac:dyDescent="0.3">
      <c r="A3" t="s">
        <v>80</v>
      </c>
      <c r="C3" t="s">
        <v>0</v>
      </c>
      <c r="E3" s="13" t="s">
        <v>88</v>
      </c>
      <c r="F3" t="s">
        <v>90</v>
      </c>
    </row>
    <row r="4" spans="1:6" x14ac:dyDescent="0.3">
      <c r="A4" s="10">
        <v>7</v>
      </c>
      <c r="C4">
        <f>GETPIVOTDATA("Name",$A$3)</f>
        <v>7</v>
      </c>
      <c r="E4" s="4" t="s">
        <v>38</v>
      </c>
      <c r="F4" s="10">
        <v>65</v>
      </c>
    </row>
    <row r="5" spans="1:6" x14ac:dyDescent="0.3">
      <c r="E5" s="4" t="s">
        <v>48</v>
      </c>
      <c r="F5" s="10">
        <v>52</v>
      </c>
    </row>
    <row r="6" spans="1:6" x14ac:dyDescent="0.3">
      <c r="A6" t="s">
        <v>81</v>
      </c>
      <c r="C6" t="s">
        <v>1</v>
      </c>
      <c r="E6" s="4" t="s">
        <v>46</v>
      </c>
      <c r="F6" s="10">
        <v>42</v>
      </c>
    </row>
    <row r="7" spans="1:6" x14ac:dyDescent="0.3">
      <c r="A7" s="10">
        <v>10</v>
      </c>
      <c r="C7">
        <f>GETPIVOTDATA("Product Name",$A$6)</f>
        <v>10</v>
      </c>
      <c r="E7" s="4" t="s">
        <v>32</v>
      </c>
      <c r="F7" s="10">
        <v>37</v>
      </c>
    </row>
    <row r="8" spans="1:6" x14ac:dyDescent="0.3">
      <c r="E8" s="4" t="s">
        <v>50</v>
      </c>
      <c r="F8" s="10">
        <v>37</v>
      </c>
    </row>
    <row r="9" spans="1:6" x14ac:dyDescent="0.3">
      <c r="A9" t="s">
        <v>82</v>
      </c>
      <c r="C9" t="s">
        <v>83</v>
      </c>
      <c r="E9" s="4" t="s">
        <v>42</v>
      </c>
      <c r="F9" s="10">
        <v>37</v>
      </c>
    </row>
    <row r="10" spans="1:6" x14ac:dyDescent="0.3">
      <c r="A10" s="10">
        <v>5543995</v>
      </c>
      <c r="C10" s="12">
        <f>GETPIVOTDATA("Amount",$A$9)</f>
        <v>5543995</v>
      </c>
      <c r="E10" s="4" t="s">
        <v>89</v>
      </c>
      <c r="F10" s="10">
        <v>270</v>
      </c>
    </row>
    <row r="12" spans="1:6" x14ac:dyDescent="0.3">
      <c r="A12" t="s">
        <v>82</v>
      </c>
      <c r="C12" s="11" t="s">
        <v>84</v>
      </c>
    </row>
    <row r="13" spans="1:6" x14ac:dyDescent="0.3">
      <c r="A13" s="10">
        <v>4466685.5999999996</v>
      </c>
      <c r="C13" s="12">
        <f>GETPIVOTDATA("Amount",$A$12)</f>
        <v>4466685.5999999996</v>
      </c>
      <c r="E13" s="13" t="s">
        <v>88</v>
      </c>
      <c r="F13" t="s">
        <v>82</v>
      </c>
    </row>
    <row r="14" spans="1:6" x14ac:dyDescent="0.3">
      <c r="E14" s="4" t="s">
        <v>15</v>
      </c>
      <c r="F14" s="10">
        <v>1439100</v>
      </c>
    </row>
    <row r="15" spans="1:6" x14ac:dyDescent="0.3">
      <c r="A15" t="s">
        <v>85</v>
      </c>
      <c r="C15" s="11" t="s">
        <v>86</v>
      </c>
      <c r="E15" s="4" t="s">
        <v>21</v>
      </c>
      <c r="F15" s="10">
        <v>1180200</v>
      </c>
    </row>
    <row r="16" spans="1:6" x14ac:dyDescent="0.3">
      <c r="A16" s="10">
        <v>1821757</v>
      </c>
      <c r="C16" s="12">
        <f>GETPIVOTDATA("Stock  Amt",$A$15)</f>
        <v>1821757</v>
      </c>
      <c r="E16" s="4" t="s">
        <v>12</v>
      </c>
      <c r="F16" s="10">
        <v>1117800</v>
      </c>
    </row>
    <row r="17" spans="1:6" x14ac:dyDescent="0.3">
      <c r="E17" s="4" t="s">
        <v>18</v>
      </c>
      <c r="F17" s="10">
        <v>405096</v>
      </c>
    </row>
    <row r="18" spans="1:6" x14ac:dyDescent="0.3">
      <c r="C18" s="11" t="s">
        <v>87</v>
      </c>
      <c r="E18" s="4" t="s">
        <v>9</v>
      </c>
      <c r="F18" s="10">
        <v>252000</v>
      </c>
    </row>
    <row r="19" spans="1:6" x14ac:dyDescent="0.3">
      <c r="C19" s="12">
        <f>C16+C13-C10</f>
        <v>744447.59999999963</v>
      </c>
      <c r="E19" s="4" t="s">
        <v>89</v>
      </c>
      <c r="F19" s="10">
        <v>4394196</v>
      </c>
    </row>
    <row r="22" spans="1:6" x14ac:dyDescent="0.3">
      <c r="A22" s="13" t="s">
        <v>88</v>
      </c>
      <c r="B22" t="s">
        <v>93</v>
      </c>
    </row>
    <row r="23" spans="1:6" x14ac:dyDescent="0.3">
      <c r="A23" s="4" t="s">
        <v>44</v>
      </c>
      <c r="B23" s="10">
        <v>14</v>
      </c>
    </row>
    <row r="24" spans="1:6" x14ac:dyDescent="0.3">
      <c r="A24" s="4" t="s">
        <v>38</v>
      </c>
      <c r="B24" s="10">
        <v>35</v>
      </c>
    </row>
    <row r="25" spans="1:6" x14ac:dyDescent="0.3">
      <c r="A25" s="4" t="s">
        <v>46</v>
      </c>
      <c r="B25" s="10">
        <v>13</v>
      </c>
    </row>
    <row r="26" spans="1:6" x14ac:dyDescent="0.3">
      <c r="A26" s="4" t="s">
        <v>34</v>
      </c>
      <c r="B26" s="10">
        <v>3</v>
      </c>
    </row>
    <row r="27" spans="1:6" x14ac:dyDescent="0.3">
      <c r="A27" s="4" t="s">
        <v>40</v>
      </c>
      <c r="B27" s="10">
        <v>20</v>
      </c>
    </row>
    <row r="28" spans="1:6" x14ac:dyDescent="0.3">
      <c r="A28" s="4" t="s">
        <v>42</v>
      </c>
      <c r="B28" s="10">
        <v>13</v>
      </c>
    </row>
    <row r="29" spans="1:6" x14ac:dyDescent="0.3">
      <c r="A29" s="4" t="s">
        <v>32</v>
      </c>
      <c r="B29" s="10">
        <v>3</v>
      </c>
    </row>
    <row r="30" spans="1:6" x14ac:dyDescent="0.3">
      <c r="A30" s="4" t="s">
        <v>48</v>
      </c>
      <c r="B30" s="10">
        <v>3</v>
      </c>
    </row>
    <row r="31" spans="1:6" x14ac:dyDescent="0.3">
      <c r="A31" s="4" t="s">
        <v>50</v>
      </c>
      <c r="B31" s="10">
        <v>3</v>
      </c>
    </row>
    <row r="32" spans="1:6" x14ac:dyDescent="0.3">
      <c r="A32" s="4" t="s">
        <v>36</v>
      </c>
      <c r="B32" s="10">
        <v>35</v>
      </c>
    </row>
    <row r="33" spans="1:2" x14ac:dyDescent="0.3">
      <c r="A33" s="4" t="s">
        <v>89</v>
      </c>
      <c r="B33" s="10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Customers</vt:lpstr>
      <vt:lpstr>Products</vt:lpstr>
      <vt:lpstr>Vendors</vt:lpstr>
      <vt:lpstr>New Entry</vt:lpstr>
      <vt:lpstr>Purchase</vt:lpstr>
      <vt:lpstr>Sales</vt:lpstr>
      <vt:lpstr>Inventory</vt:lpstr>
      <vt:lpstr>Pivot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RAUT</dc:creator>
  <cp:lastModifiedBy>ROHIT RAUT</cp:lastModifiedBy>
  <dcterms:created xsi:type="dcterms:W3CDTF">2025-12-05T19:35:18Z</dcterms:created>
  <dcterms:modified xsi:type="dcterms:W3CDTF">2025-12-06T11:52:50Z</dcterms:modified>
</cp:coreProperties>
</file>